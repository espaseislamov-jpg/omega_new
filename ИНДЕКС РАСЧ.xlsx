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Майя\Desktop\"/>
    </mc:Choice>
  </mc:AlternateContent>
  <xr:revisionPtr revIDLastSave="0" documentId="13_ncr:1_{C9323F87-7687-4F4C-9E39-0A4D3ACA747A}" xr6:coauthVersionLast="40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" sheetId="1" r:id="rId1"/>
    <sheet name="REZ" sheetId="2" r:id="rId2"/>
    <sheet name="SPECOCRUG" sheetId="3" r:id="rId3"/>
  </sheets>
  <definedNames>
    <definedName name="OBSUMM">REZ!$G$38</definedName>
  </definedNames>
  <calcPr calcId="191029"/>
</workbook>
</file>

<file path=xl/calcChain.xml><?xml version="1.0" encoding="utf-8"?>
<calcChain xmlns="http://schemas.openxmlformats.org/spreadsheetml/2006/main">
  <c r="A19" i="3" l="1"/>
  <c r="A1" i="2"/>
  <c r="E34" i="2"/>
  <c r="E33" i="2"/>
  <c r="E24" i="2"/>
  <c r="E23" i="2"/>
  <c r="F20" i="2"/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B54" i="3"/>
  <c r="B57" i="3"/>
  <c r="B56" i="3"/>
  <c r="B55" i="3"/>
  <c r="A75" i="3"/>
  <c r="A76" i="3"/>
  <c r="A77" i="3"/>
  <c r="B59" i="3"/>
  <c r="B60" i="3"/>
  <c r="B51" i="3"/>
  <c r="A78" i="3"/>
  <c r="B63" i="3"/>
  <c r="A79" i="3"/>
  <c r="A80" i="3"/>
  <c r="A81" i="3"/>
  <c r="A82" i="3"/>
  <c r="B61" i="3"/>
  <c r="B58" i="3"/>
  <c r="B62" i="3"/>
  <c r="A83" i="3"/>
  <c r="B65" i="3"/>
  <c r="A84" i="3"/>
  <c r="A85" i="3"/>
  <c r="A86" i="3"/>
  <c r="A87" i="3"/>
  <c r="A88" i="3"/>
  <c r="A89" i="3"/>
  <c r="B64" i="3"/>
  <c r="B66" i="3"/>
  <c r="B48" i="3"/>
  <c r="B52" i="3"/>
  <c r="B42" i="3"/>
  <c r="B46" i="3"/>
  <c r="B43" i="3"/>
  <c r="B53" i="3"/>
  <c r="B50" i="3"/>
  <c r="B45" i="3"/>
  <c r="B44" i="3"/>
  <c r="B41" i="3"/>
  <c r="B49" i="3"/>
  <c r="B47" i="3"/>
  <c r="B37" i="3"/>
  <c r="B40" i="3"/>
  <c r="B39" i="3"/>
  <c r="B38" i="3"/>
  <c r="B32" i="3"/>
  <c r="B35" i="3"/>
  <c r="B36" i="3"/>
  <c r="B34" i="3"/>
  <c r="B30" i="3"/>
  <c r="B33" i="3"/>
  <c r="B67" i="3"/>
  <c r="B68" i="3"/>
  <c r="B31" i="3"/>
  <c r="B28" i="3"/>
  <c r="G20" i="2"/>
  <c r="F26" i="2"/>
  <c r="G26" i="2" s="1"/>
  <c r="F27" i="2"/>
  <c r="G27" i="2" s="1"/>
  <c r="P47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K9" i="2"/>
  <c r="L9" i="2" s="1"/>
  <c r="J16" i="2"/>
  <c r="J9" i="2"/>
  <c r="B9" i="3"/>
  <c r="B3" i="3"/>
  <c r="B4" i="3"/>
  <c r="B5" i="3"/>
  <c r="B6" i="3"/>
  <c r="B7" i="3"/>
  <c r="B8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B2" i="3"/>
  <c r="J21" i="2"/>
  <c r="J20" i="2"/>
  <c r="J19" i="2"/>
  <c r="J18" i="2"/>
  <c r="J14" i="2"/>
  <c r="J13" i="2"/>
  <c r="J12" i="2"/>
  <c r="J11" i="2"/>
  <c r="J10" i="2"/>
  <c r="J8" i="2"/>
  <c r="J7" i="2"/>
  <c r="J6" i="2"/>
  <c r="J5" i="2"/>
  <c r="J4" i="2"/>
  <c r="J3" i="2"/>
  <c r="J2" i="2"/>
  <c r="K23" i="2"/>
  <c r="L23" i="2" s="1"/>
  <c r="K16" i="2"/>
  <c r="L16" i="2" s="1"/>
  <c r="K15" i="2"/>
  <c r="L15" i="2" s="1"/>
  <c r="K30" i="2"/>
  <c r="L30" i="2"/>
  <c r="K24" i="2"/>
  <c r="L24" i="2" s="1"/>
  <c r="K19" i="2"/>
  <c r="L19" i="2" s="1"/>
  <c r="K33" i="2"/>
  <c r="L33" i="2" s="1"/>
  <c r="K31" i="2"/>
  <c r="L31" i="2" s="1"/>
  <c r="K32" i="2"/>
  <c r="L32" i="2" s="1"/>
  <c r="K4" i="2"/>
  <c r="L4" i="2" s="1"/>
  <c r="K5" i="2"/>
  <c r="L5" i="2" s="1"/>
  <c r="K21" i="2"/>
  <c r="L21" i="2" s="1"/>
  <c r="K8" i="2"/>
  <c r="L8" i="2" s="1"/>
  <c r="K6" i="2"/>
  <c r="L6" i="2" s="1"/>
  <c r="K14" i="2"/>
  <c r="L14" i="2" s="1"/>
  <c r="K22" i="2"/>
  <c r="L22" i="2" s="1"/>
  <c r="K26" i="2"/>
  <c r="L26" i="2" s="1"/>
  <c r="K11" i="2"/>
  <c r="L11" i="2" s="1"/>
  <c r="K29" i="2"/>
  <c r="L29" i="2" s="1"/>
  <c r="K37" i="2"/>
  <c r="L37" i="2"/>
  <c r="K28" i="2"/>
  <c r="L28" i="2" s="1"/>
  <c r="K35" i="2"/>
  <c r="L35" i="2"/>
  <c r="K27" i="2"/>
  <c r="L27" i="2" s="1"/>
  <c r="K18" i="2"/>
  <c r="L18" i="2" s="1"/>
  <c r="K36" i="2"/>
  <c r="L36" i="2" s="1"/>
  <c r="K13" i="2"/>
  <c r="L13" i="2" s="1"/>
  <c r="K34" i="2"/>
  <c r="L34" i="2" s="1"/>
  <c r="K12" i="2"/>
  <c r="L12" i="2"/>
  <c r="K10" i="2"/>
  <c r="L10" i="2" s="1"/>
  <c r="K25" i="2"/>
  <c r="L25" i="2" s="1"/>
  <c r="K7" i="2"/>
  <c r="L7" i="2" s="1"/>
  <c r="K17" i="2"/>
  <c r="L17" i="2" s="1"/>
  <c r="K20" i="2"/>
  <c r="L20" i="2" s="1"/>
  <c r="F18" i="2" l="1"/>
  <c r="G18" i="2" s="1"/>
  <c r="F15" i="2"/>
  <c r="G15" i="2" s="1"/>
  <c r="F37" i="2"/>
  <c r="F36" i="2"/>
  <c r="G36" i="2" s="1"/>
  <c r="F16" i="2"/>
  <c r="G16" i="2" s="1"/>
  <c r="F17" i="2"/>
  <c r="M17" i="2" s="1"/>
  <c r="N17" i="2" s="1"/>
  <c r="F21" i="2"/>
  <c r="G21" i="2" s="1"/>
  <c r="F34" i="2"/>
  <c r="G34" i="2" s="1"/>
  <c r="F24" i="2"/>
  <c r="G24" i="2" s="1"/>
  <c r="F23" i="2"/>
  <c r="G23" i="2" s="1"/>
  <c r="F22" i="2"/>
  <c r="G22" i="2" s="1"/>
  <c r="F33" i="2"/>
  <c r="F19" i="2"/>
  <c r="F13" i="2"/>
  <c r="M13" i="2" s="1"/>
  <c r="N13" i="2" s="1"/>
  <c r="F14" i="2"/>
  <c r="F5" i="2"/>
  <c r="G5" i="2" s="1"/>
  <c r="F7" i="2"/>
  <c r="G7" i="2" s="1"/>
  <c r="F9" i="2"/>
  <c r="M9" i="2" s="1"/>
  <c r="N9" i="2" s="1"/>
  <c r="F11" i="2"/>
  <c r="F4" i="2"/>
  <c r="F6" i="2"/>
  <c r="G6" i="2" s="1"/>
  <c r="F8" i="2"/>
  <c r="G8" i="2" s="1"/>
  <c r="F10" i="2"/>
  <c r="G10" i="2" s="1"/>
  <c r="F12" i="2"/>
  <c r="G12" i="2" s="1"/>
  <c r="M20" i="2"/>
  <c r="N20" i="2" s="1"/>
  <c r="M27" i="2"/>
  <c r="N27" i="2" s="1"/>
  <c r="F3" i="2"/>
  <c r="M3" i="2" s="1"/>
  <c r="F30" i="2"/>
  <c r="G30" i="2" s="1"/>
  <c r="F35" i="2"/>
  <c r="M35" i="2" s="1"/>
  <c r="N35" i="2" s="1"/>
  <c r="F31" i="2"/>
  <c r="G31" i="2" s="1"/>
  <c r="F25" i="2"/>
  <c r="G25" i="2" s="1"/>
  <c r="F28" i="2"/>
  <c r="G28" i="2" s="1"/>
  <c r="F29" i="2"/>
  <c r="G29" i="2" s="1"/>
  <c r="F32" i="2"/>
  <c r="G32" i="2" s="1"/>
  <c r="M26" i="2"/>
  <c r="N26" i="2" s="1"/>
  <c r="M11" i="2" l="1"/>
  <c r="N11" i="2" s="1"/>
  <c r="G11" i="2"/>
  <c r="M16" i="2"/>
  <c r="N16" i="2" s="1"/>
  <c r="G39" i="2"/>
  <c r="M18" i="2"/>
  <c r="N18" i="2" s="1"/>
  <c r="G19" i="2"/>
  <c r="M19" i="2"/>
  <c r="N19" i="2" s="1"/>
  <c r="G13" i="2"/>
  <c r="G14" i="2"/>
  <c r="M14" i="2"/>
  <c r="N14" i="2" s="1"/>
  <c r="M21" i="2"/>
  <c r="N21" i="2" s="1"/>
  <c r="M22" i="2"/>
  <c r="N22" i="2" s="1"/>
  <c r="G44" i="2"/>
  <c r="G35" i="2"/>
  <c r="M30" i="2"/>
  <c r="N30" i="2" s="1"/>
  <c r="G3" i="2"/>
  <c r="M28" i="2"/>
  <c r="N28" i="2" s="1"/>
  <c r="M10" i="2"/>
  <c r="N10" i="2" s="1"/>
  <c r="O44" i="2"/>
  <c r="M25" i="2"/>
  <c r="N25" i="2" s="1"/>
  <c r="M6" i="2"/>
  <c r="N6" i="2" s="1"/>
  <c r="G47" i="2"/>
  <c r="M12" i="2"/>
  <c r="N12" i="2" s="1"/>
  <c r="M23" i="2"/>
  <c r="N23" i="2" s="1"/>
  <c r="M7" i="2"/>
  <c r="N7" i="2" s="1"/>
  <c r="M36" i="2"/>
  <c r="N36" i="2" s="1"/>
  <c r="M8" i="2"/>
  <c r="N8" i="2" s="1"/>
  <c r="M5" i="2"/>
  <c r="N5" i="2" s="1"/>
  <c r="M24" i="2"/>
  <c r="N24" i="2" s="1"/>
  <c r="M31" i="2"/>
  <c r="N31" i="2" s="1"/>
  <c r="G17" i="2"/>
  <c r="E47" i="2"/>
  <c r="M34" i="2"/>
  <c r="N34" i="2" s="1"/>
  <c r="M37" i="2"/>
  <c r="N37" i="2" s="1"/>
  <c r="G37" i="2"/>
  <c r="E44" i="2"/>
  <c r="O47" i="2"/>
  <c r="M32" i="2"/>
  <c r="N32" i="2" s="1"/>
  <c r="M29" i="2"/>
  <c r="N29" i="2" s="1"/>
  <c r="G33" i="2"/>
  <c r="M33" i="2"/>
  <c r="N33" i="2" s="1"/>
  <c r="M4" i="2"/>
  <c r="N4" i="2" s="1"/>
  <c r="G4" i="2"/>
  <c r="M15" i="2"/>
  <c r="N15" i="2" s="1"/>
  <c r="G38" i="2" l="1"/>
  <c r="G41" i="2" s="1"/>
  <c r="N38" i="2"/>
  <c r="N39" i="2"/>
  <c r="O37" i="2" l="1"/>
  <c r="O23" i="2"/>
  <c r="C41" i="2" s="1"/>
  <c r="O32" i="2"/>
  <c r="C40" i="2" s="1"/>
  <c r="O14" i="2"/>
  <c r="O33" i="2"/>
  <c r="O9" i="2"/>
  <c r="O3" i="2"/>
  <c r="O36" i="2"/>
  <c r="O28" i="2"/>
  <c r="O25" i="2"/>
  <c r="O16" i="2"/>
  <c r="O8" i="2"/>
  <c r="O17" i="2"/>
  <c r="O29" i="2"/>
  <c r="O7" i="2"/>
  <c r="O35" i="2"/>
  <c r="O31" i="2"/>
  <c r="O20" i="2"/>
  <c r="P39" i="2"/>
  <c r="O24" i="2"/>
  <c r="O12" i="2"/>
  <c r="O5" i="2"/>
  <c r="O22" i="2"/>
  <c r="O4" i="2"/>
  <c r="O18" i="2"/>
  <c r="O15" i="2"/>
  <c r="O34" i="2"/>
  <c r="O27" i="2"/>
  <c r="O13" i="2"/>
  <c r="O11" i="2"/>
  <c r="O6" i="2"/>
  <c r="O30" i="2"/>
  <c r="O21" i="2"/>
  <c r="O26" i="2"/>
  <c r="O10" i="2"/>
  <c r="O19" i="2"/>
  <c r="C42" i="2" s="1"/>
  <c r="O38" i="2" l="1"/>
</calcChain>
</file>

<file path=xl/sharedStrings.xml><?xml version="1.0" encoding="utf-8"?>
<sst xmlns="http://schemas.openxmlformats.org/spreadsheetml/2006/main" count="149" uniqueCount="109">
  <si>
    <t>SPECT- A</t>
  </si>
  <si>
    <t>SPECT- B</t>
  </si>
  <si>
    <t>SELECT</t>
  </si>
  <si>
    <t>RT</t>
  </si>
  <si>
    <t>S</t>
  </si>
  <si>
    <t>Декановая</t>
  </si>
  <si>
    <t>C10:0</t>
  </si>
  <si>
    <t>Ундециловая</t>
  </si>
  <si>
    <t>С11:0</t>
  </si>
  <si>
    <t>Лауриновая</t>
  </si>
  <si>
    <t>С12:0</t>
  </si>
  <si>
    <t>Тридекановая</t>
  </si>
  <si>
    <t>С13:0</t>
  </si>
  <si>
    <t>Миристолеиновая*</t>
  </si>
  <si>
    <t>С14:1</t>
  </si>
  <si>
    <t>Миристиновая*</t>
  </si>
  <si>
    <t>С14:0</t>
  </si>
  <si>
    <t>Цис-10-Петадеценовая</t>
  </si>
  <si>
    <t>С15:1</t>
  </si>
  <si>
    <t>Пентадекановая*</t>
  </si>
  <si>
    <t>С15:0</t>
  </si>
  <si>
    <t>Пальмитолениновая*</t>
  </si>
  <si>
    <t>С16:1n7</t>
  </si>
  <si>
    <t>Пальмитиновая*</t>
  </si>
  <si>
    <t>С16:0</t>
  </si>
  <si>
    <t>Цис-10-Гептадеценовая*</t>
  </si>
  <si>
    <t>С17:1n7</t>
  </si>
  <si>
    <t>Маргариновая</t>
  </si>
  <si>
    <t>С17:0</t>
  </si>
  <si>
    <r>
      <rPr>
        <sz val="10"/>
        <rFont val="Calibri"/>
        <family val="2"/>
        <charset val="204"/>
      </rPr>
      <t>γ</t>
    </r>
    <r>
      <rPr>
        <sz val="10"/>
        <rFont val="Arial"/>
        <family val="2"/>
        <charset val="204"/>
      </rPr>
      <t xml:space="preserve">-Линоленовая*  </t>
    </r>
  </si>
  <si>
    <t>C18:3n6</t>
  </si>
  <si>
    <t>Линолевая*</t>
  </si>
  <si>
    <t>С18:2n6c</t>
  </si>
  <si>
    <t>Олеиновая*******</t>
  </si>
  <si>
    <t>C18:1n9c</t>
  </si>
  <si>
    <t>Линоленовая*</t>
  </si>
  <si>
    <t>C18:3n3</t>
  </si>
  <si>
    <t>Элаидиновая*******</t>
  </si>
  <si>
    <t>C18:1n9t</t>
  </si>
  <si>
    <t>Стеариновая*</t>
  </si>
  <si>
    <t>C18:0</t>
  </si>
  <si>
    <t>Арахидоновая*</t>
  </si>
  <si>
    <t>C20:4n6</t>
  </si>
  <si>
    <t>Эйкозопентаеновая*</t>
  </si>
  <si>
    <t>C20:5</t>
  </si>
  <si>
    <r>
      <rPr>
        <i/>
        <sz val="10"/>
        <rFont val="Arial"/>
        <family val="2"/>
        <charset val="204"/>
      </rPr>
      <t>цис</t>
    </r>
    <r>
      <rPr>
        <sz val="10"/>
        <rFont val="Arial"/>
        <family val="2"/>
        <charset val="204"/>
      </rPr>
      <t>-8,11,14-эйкозатриеновая 320*</t>
    </r>
  </si>
  <si>
    <t>C20:3n8</t>
  </si>
  <si>
    <t>Эйкозадиеновая*</t>
  </si>
  <si>
    <t>C20:2</t>
  </si>
  <si>
    <t>Эйкозеновая*</t>
  </si>
  <si>
    <t>C20:1</t>
  </si>
  <si>
    <r>
      <rPr>
        <i/>
        <sz val="10"/>
        <rFont val="Arial"/>
        <family val="2"/>
        <charset val="204"/>
      </rPr>
      <t>цис</t>
    </r>
    <r>
      <rPr>
        <sz val="10"/>
        <rFont val="Arial"/>
        <family val="2"/>
        <charset val="204"/>
      </rPr>
      <t>-11,14,17-эйкозатриеновая*</t>
    </r>
  </si>
  <si>
    <t>C20:3n11</t>
  </si>
  <si>
    <t>Арахиновая*</t>
  </si>
  <si>
    <t>C20:0</t>
  </si>
  <si>
    <t>Генэйкозановая</t>
  </si>
  <si>
    <t>С21:0</t>
  </si>
  <si>
    <t>Докозадиеновая</t>
  </si>
  <si>
    <t>C22:2</t>
  </si>
  <si>
    <t>Эруковая*</t>
  </si>
  <si>
    <t>C22:1</t>
  </si>
  <si>
    <t>Докозагексаеновая* no</t>
  </si>
  <si>
    <t>C22:6</t>
  </si>
  <si>
    <t>Docosapenaenoic acid no</t>
  </si>
  <si>
    <t>Трикозановая</t>
  </si>
  <si>
    <t>C23:0</t>
  </si>
  <si>
    <t>Нервоновая*</t>
  </si>
  <si>
    <t>C24:1n9</t>
  </si>
  <si>
    <t>Лигноцериновая</t>
  </si>
  <si>
    <t>C24:0</t>
  </si>
  <si>
    <t>O-INDEX</t>
  </si>
  <si>
    <t>K-1</t>
  </si>
  <si>
    <t>K-2</t>
  </si>
  <si>
    <t>OTN</t>
  </si>
  <si>
    <t>PASP</t>
  </si>
  <si>
    <t>RASCH-K</t>
  </si>
  <si>
    <t>FAME ST 0.5</t>
  </si>
  <si>
    <t>%</t>
  </si>
  <si>
    <t/>
  </si>
  <si>
    <t>Ar/EPA</t>
  </si>
  <si>
    <t>DHA/Ar</t>
  </si>
  <si>
    <t>Ar/DHA</t>
  </si>
  <si>
    <t>ДГК</t>
  </si>
  <si>
    <t>C22:5</t>
  </si>
  <si>
    <t>MIN</t>
  </si>
  <si>
    <t>MAX</t>
  </si>
  <si>
    <t>EPA/Ar</t>
  </si>
  <si>
    <t>Докозатетраеновая</t>
  </si>
  <si>
    <t>Nick-1</t>
  </si>
  <si>
    <t>Nick-2</t>
  </si>
  <si>
    <t>Peak #</t>
  </si>
  <si>
    <t>Ret Time</t>
  </si>
  <si>
    <t>Type</t>
  </si>
  <si>
    <t>Width</t>
  </si>
  <si>
    <t>Area</t>
  </si>
  <si>
    <t>Start Time</t>
  </si>
  <si>
    <t>End Time</t>
  </si>
  <si>
    <t xml:space="preserve"> </t>
  </si>
  <si>
    <t>c22:4</t>
  </si>
  <si>
    <t>ПУНИЧЕСКАЯ</t>
  </si>
  <si>
    <t>ПУНИК</t>
  </si>
  <si>
    <t>ЭПК</t>
  </si>
  <si>
    <t xml:space="preserve">BV  </t>
  </si>
  <si>
    <t xml:space="preserve">BB  </t>
  </si>
  <si>
    <t xml:space="preserve">VV  </t>
  </si>
  <si>
    <t xml:space="preserve">   M</t>
  </si>
  <si>
    <t xml:space="preserve">VB  </t>
  </si>
  <si>
    <t xml:space="preserve">PV  </t>
  </si>
  <si>
    <t>Signal: O1_905564632403,D\FID1A,ch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</si>
</sst>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i/>
      <sz val="10"/>
      <name val="Arial"/>
      <family val="2"/>
      <charset val="204"/>
    </font>
    <font>
      <b/>
      <sz val="10"/>
      <color rgb="FFC00000"/>
      <name val="Arial"/>
      <family val="2"/>
    </font>
    <font>
      <sz val="10"/>
      <color rgb="FF00B05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70C0"/>
      <name val="Arial"/>
      <family val="2"/>
      <charset val="204"/>
    </font>
    <font>
      <sz val="1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theme="0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rgb="FF00B050"/>
      <name val="Arial"/>
      <family val="2"/>
      <charset val="204"/>
    </font>
    <font>
      <b/>
      <sz val="11"/>
      <name val="Arial"/>
      <family val="2"/>
    </font>
    <font>
      <b/>
      <sz val="11"/>
      <color rgb="FFFF0000"/>
      <name val="Arial"/>
      <family val="2"/>
      <charset val="204"/>
    </font>
    <font>
      <sz val="12"/>
      <color rgb="FF00B050"/>
      <name val="Arial"/>
      <family val="2"/>
      <charset val="204"/>
    </font>
    <font>
      <b/>
      <sz val="12"/>
      <color rgb="FF00B050"/>
      <name val="Arial"/>
      <family val="2"/>
      <charset val="204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b/>
      <sz val="18"/>
      <color rgb="FFFF000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sz val="20"/>
      <color rgb="FF00B050"/>
      <name val="Arial"/>
      <family val="2"/>
      <charset val="204"/>
    </font>
    <font>
      <b/>
      <sz val="20"/>
      <color rgb="FF0070C0"/>
      <name val="Arial"/>
      <family val="2"/>
      <charset val="204"/>
    </font>
    <font>
      <i/>
      <sz val="20"/>
      <name val="Arial"/>
      <family val="2"/>
      <charset val="204"/>
    </font>
    <font>
      <b/>
      <sz val="20"/>
      <color rgb="FFC00000"/>
      <name val="Arial"/>
      <family val="2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7" fillId="0" borderId="0"/>
  </cellStyleXfs>
  <cellXfs count="142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4" xfId="0" applyFont="1" applyBorder="1"/>
    <xf numFmtId="0" fontId="2" fillId="0" borderId="5" xfId="0" applyFont="1" applyBorder="1"/>
    <xf numFmtId="0" fontId="6" fillId="0" borderId="6" xfId="0" applyFont="1" applyBorder="1"/>
    <xf numFmtId="0" fontId="5" fillId="0" borderId="7" xfId="0" applyFont="1" applyBorder="1"/>
    <xf numFmtId="0" fontId="4" fillId="0" borderId="5" xfId="0" applyFont="1" applyBorder="1"/>
    <xf numFmtId="0" fontId="7" fillId="0" borderId="7" xfId="0" applyFont="1" applyBorder="1"/>
    <xf numFmtId="0" fontId="2" fillId="0" borderId="3" xfId="0" applyFont="1" applyBorder="1"/>
    <xf numFmtId="0" fontId="6" fillId="0" borderId="0" xfId="0" applyFont="1"/>
    <xf numFmtId="0" fontId="2" fillId="0" borderId="9" xfId="0" applyFont="1" applyBorder="1"/>
    <xf numFmtId="1" fontId="2" fillId="0" borderId="0" xfId="0" applyNumberFormat="1" applyFont="1" applyAlignment="1">
      <alignment horizontal="center"/>
    </xf>
    <xf numFmtId="0" fontId="2" fillId="0" borderId="10" xfId="0" applyFont="1" applyBorder="1"/>
    <xf numFmtId="0" fontId="6" fillId="2" borderId="0" xfId="0" applyFont="1" applyFill="1"/>
    <xf numFmtId="0" fontId="2" fillId="3" borderId="0" xfId="0" applyFont="1" applyFill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10" fillId="0" borderId="6" xfId="0" applyFont="1" applyBorder="1"/>
    <xf numFmtId="0" fontId="10" fillId="0" borderId="0" xfId="0" applyFont="1" applyAlignment="1">
      <alignment horizontal="center"/>
    </xf>
    <xf numFmtId="0" fontId="2" fillId="0" borderId="8" xfId="0" applyFont="1" applyBorder="1"/>
    <xf numFmtId="0" fontId="10" fillId="0" borderId="4" xfId="0" applyFont="1" applyBorder="1"/>
    <xf numFmtId="0" fontId="12" fillId="0" borderId="8" xfId="0" applyFont="1" applyBorder="1"/>
    <xf numFmtId="0" fontId="10" fillId="0" borderId="8" xfId="0" applyFont="1" applyBorder="1"/>
    <xf numFmtId="1" fontId="0" fillId="0" borderId="0" xfId="0" applyNumberFormat="1"/>
    <xf numFmtId="165" fontId="0" fillId="0" borderId="0" xfId="0" applyNumberFormat="1"/>
    <xf numFmtId="0" fontId="2" fillId="0" borderId="12" xfId="0" applyFont="1" applyBorder="1"/>
    <xf numFmtId="1" fontId="9" fillId="0" borderId="13" xfId="0" applyNumberFormat="1" applyFont="1" applyBorder="1" applyAlignment="1">
      <alignment horizontal="center"/>
    </xf>
    <xf numFmtId="0" fontId="13" fillId="0" borderId="0" xfId="0" applyFont="1"/>
    <xf numFmtId="1" fontId="2" fillId="0" borderId="0" xfId="0" applyNumberFormat="1" applyFont="1"/>
    <xf numFmtId="0" fontId="9" fillId="0" borderId="0" xfId="0" applyFont="1"/>
    <xf numFmtId="1" fontId="9" fillId="0" borderId="0" xfId="0" applyNumberFormat="1" applyFont="1"/>
    <xf numFmtId="1" fontId="0" fillId="0" borderId="13" xfId="0" applyNumberFormat="1" applyBorder="1"/>
    <xf numFmtId="0" fontId="2" fillId="0" borderId="16" xfId="0" applyFont="1" applyBorder="1"/>
    <xf numFmtId="2" fontId="9" fillId="0" borderId="13" xfId="0" applyNumberFormat="1" applyFont="1" applyBorder="1" applyAlignment="1">
      <alignment horizontal="center"/>
    </xf>
    <xf numFmtId="2" fontId="2" fillId="0" borderId="0" xfId="0" applyNumberFormat="1" applyFont="1"/>
    <xf numFmtId="2" fontId="0" fillId="0" borderId="0" xfId="0" applyNumberFormat="1"/>
    <xf numFmtId="2" fontId="2" fillId="0" borderId="6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5" xfId="0" applyFont="1" applyBorder="1"/>
    <xf numFmtId="0" fontId="2" fillId="0" borderId="13" xfId="0" applyFont="1" applyBorder="1"/>
    <xf numFmtId="0" fontId="9" fillId="0" borderId="3" xfId="0" applyFont="1" applyBorder="1"/>
    <xf numFmtId="0" fontId="11" fillId="0" borderId="6" xfId="0" applyFont="1" applyBorder="1"/>
    <xf numFmtId="0" fontId="2" fillId="4" borderId="8" xfId="0" applyFont="1" applyFill="1" applyBorder="1"/>
    <xf numFmtId="0" fontId="2" fillId="4" borderId="3" xfId="0" applyFont="1" applyFill="1" applyBorder="1"/>
    <xf numFmtId="0" fontId="6" fillId="4" borderId="0" xfId="0" applyFont="1" applyFill="1"/>
    <xf numFmtId="0" fontId="2" fillId="4" borderId="0" xfId="0" applyFont="1" applyFill="1"/>
    <xf numFmtId="0" fontId="2" fillId="4" borderId="9" xfId="0" applyFont="1" applyFill="1" applyBorder="1"/>
    <xf numFmtId="1" fontId="2" fillId="4" borderId="0" xfId="0" applyNumberFormat="1" applyFont="1" applyFill="1" applyAlignment="1">
      <alignment horizontal="center"/>
    </xf>
    <xf numFmtId="0" fontId="4" fillId="4" borderId="0" xfId="0" applyFont="1" applyFill="1"/>
    <xf numFmtId="2" fontId="7" fillId="4" borderId="5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2" fillId="4" borderId="10" xfId="0" applyFont="1" applyFill="1" applyBorder="1"/>
    <xf numFmtId="1" fontId="2" fillId="0" borderId="7" xfId="0" applyNumberFormat="1" applyFont="1" applyBorder="1"/>
    <xf numFmtId="1" fontId="2" fillId="0" borderId="10" xfId="0" applyNumberFormat="1" applyFont="1" applyBorder="1"/>
    <xf numFmtId="165" fontId="15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1" fontId="2" fillId="0" borderId="4" xfId="0" applyNumberFormat="1" applyFont="1" applyBorder="1"/>
    <xf numFmtId="0" fontId="7" fillId="0" borderId="5" xfId="0" applyFont="1" applyBorder="1" applyAlignment="1">
      <alignment horizontal="center" vertical="center"/>
    </xf>
    <xf numFmtId="0" fontId="0" fillId="0" borderId="11" xfId="0" applyBorder="1"/>
    <xf numFmtId="0" fontId="2" fillId="0" borderId="2" xfId="0" applyFont="1" applyBorder="1"/>
    <xf numFmtId="0" fontId="10" fillId="0" borderId="13" xfId="0" applyFont="1" applyBorder="1"/>
    <xf numFmtId="0" fontId="10" fillId="0" borderId="1" xfId="0" applyFont="1" applyBorder="1"/>
    <xf numFmtId="0" fontId="6" fillId="0" borderId="15" xfId="0" applyFont="1" applyBorder="1"/>
    <xf numFmtId="0" fontId="15" fillId="0" borderId="0" xfId="0" applyFont="1"/>
    <xf numFmtId="164" fontId="19" fillId="0" borderId="12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/>
    <xf numFmtId="2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/>
    <xf numFmtId="1" fontId="0" fillId="0" borderId="15" xfId="0" applyNumberFormat="1" applyBorder="1"/>
    <xf numFmtId="0" fontId="0" fillId="0" borderId="14" xfId="0" applyBorder="1"/>
    <xf numFmtId="0" fontId="0" fillId="0" borderId="0" xfId="0" applyAlignment="1">
      <alignment horizontal="center"/>
    </xf>
    <xf numFmtId="0" fontId="0" fillId="0" borderId="7" xfId="0" applyBorder="1"/>
    <xf numFmtId="0" fontId="6" fillId="0" borderId="12" xfId="0" applyFont="1" applyBorder="1"/>
    <xf numFmtId="0" fontId="0" fillId="0" borderId="1" xfId="0" applyBorder="1" applyAlignment="1">
      <alignment horizontal="center"/>
    </xf>
    <xf numFmtId="0" fontId="6" fillId="0" borderId="14" xfId="0" applyFont="1" applyBorder="1"/>
    <xf numFmtId="0" fontId="0" fillId="0" borderId="17" xfId="0" applyBorder="1" applyAlignment="1">
      <alignment horizontal="center"/>
    </xf>
    <xf numFmtId="0" fontId="6" fillId="0" borderId="2" xfId="0" applyFont="1" applyBorder="1"/>
    <xf numFmtId="0" fontId="6" fillId="0" borderId="11" xfId="0" applyFont="1" applyBorder="1"/>
    <xf numFmtId="2" fontId="0" fillId="0" borderId="12" xfId="0" applyNumberFormat="1" applyBorder="1"/>
    <xf numFmtId="2" fontId="0" fillId="0" borderId="14" xfId="0" applyNumberFormat="1" applyBorder="1"/>
    <xf numFmtId="165" fontId="14" fillId="0" borderId="15" xfId="0" applyNumberFormat="1" applyFont="1" applyBorder="1"/>
    <xf numFmtId="0" fontId="21" fillId="0" borderId="2" xfId="0" applyFont="1" applyBorder="1"/>
    <xf numFmtId="0" fontId="22" fillId="0" borderId="2" xfId="0" applyFont="1" applyBorder="1"/>
    <xf numFmtId="164" fontId="23" fillId="0" borderId="2" xfId="0" applyNumberFormat="1" applyFont="1" applyBorder="1"/>
    <xf numFmtId="164" fontId="24" fillId="0" borderId="2" xfId="0" applyNumberFormat="1" applyFont="1" applyBorder="1" applyAlignment="1">
      <alignment horizontal="center"/>
    </xf>
    <xf numFmtId="165" fontId="9" fillId="0" borderId="12" xfId="0" applyNumberFormat="1" applyFont="1" applyBorder="1"/>
    <xf numFmtId="164" fontId="19" fillId="0" borderId="0" xfId="0" applyNumberFormat="1" applyFont="1"/>
    <xf numFmtId="164" fontId="20" fillId="0" borderId="0" xfId="0" applyNumberFormat="1" applyFont="1"/>
    <xf numFmtId="1" fontId="9" fillId="0" borderId="8" xfId="0" applyNumberFormat="1" applyFont="1" applyBorder="1"/>
    <xf numFmtId="0" fontId="10" fillId="5" borderId="5" xfId="0" applyFont="1" applyFill="1" applyBorder="1"/>
    <xf numFmtId="0" fontId="10" fillId="3" borderId="1" xfId="0" applyFont="1" applyFill="1" applyBorder="1"/>
    <xf numFmtId="0" fontId="2" fillId="6" borderId="0" xfId="0" applyFont="1" applyFill="1"/>
    <xf numFmtId="0" fontId="10" fillId="6" borderId="5" xfId="0" applyFont="1" applyFill="1" applyBorder="1"/>
    <xf numFmtId="2" fontId="0" fillId="0" borderId="13" xfId="0" applyNumberFormat="1" applyBorder="1"/>
    <xf numFmtId="164" fontId="16" fillId="0" borderId="3" xfId="0" applyNumberFormat="1" applyFont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7" fillId="0" borderId="7" xfId="0" applyNumberFormat="1" applyFont="1" applyBorder="1" applyAlignment="1">
      <alignment horizontal="center"/>
    </xf>
    <xf numFmtId="164" fontId="17" fillId="0" borderId="13" xfId="0" applyNumberFormat="1" applyFont="1" applyBorder="1" applyAlignment="1">
      <alignment horizontal="center"/>
    </xf>
    <xf numFmtId="164" fontId="0" fillId="0" borderId="11" xfId="0" applyNumberFormat="1" applyBorder="1"/>
    <xf numFmtId="164" fontId="15" fillId="0" borderId="0" xfId="0" applyNumberFormat="1" applyFont="1" applyAlignment="1">
      <alignment horizontal="center"/>
    </xf>
    <xf numFmtId="164" fontId="0" fillId="0" borderId="17" xfId="0" applyNumberFormat="1" applyBorder="1"/>
    <xf numFmtId="164" fontId="0" fillId="0" borderId="0" xfId="0" applyNumberFormat="1"/>
    <xf numFmtId="0" fontId="2" fillId="7" borderId="3" xfId="0" applyFont="1" applyFill="1" applyBorder="1"/>
    <xf numFmtId="0" fontId="6" fillId="7" borderId="0" xfId="0" applyFont="1" applyFill="1"/>
    <xf numFmtId="0" fontId="2" fillId="7" borderId="0" xfId="0" applyFont="1" applyFill="1"/>
    <xf numFmtId="0" fontId="2" fillId="7" borderId="9" xfId="0" applyFont="1" applyFill="1" applyBorder="1"/>
    <xf numFmtId="1" fontId="2" fillId="7" borderId="0" xfId="0" applyNumberFormat="1" applyFont="1" applyFill="1" applyAlignment="1">
      <alignment horizontal="center"/>
    </xf>
    <xf numFmtId="0" fontId="4" fillId="7" borderId="0" xfId="0" applyFont="1" applyFill="1"/>
    <xf numFmtId="2" fontId="7" fillId="7" borderId="5" xfId="0" applyNumberFormat="1" applyFont="1" applyFill="1" applyBorder="1" applyAlignment="1">
      <alignment horizontal="center" vertical="center"/>
    </xf>
    <xf numFmtId="2" fontId="2" fillId="7" borderId="3" xfId="0" applyNumberFormat="1" applyFont="1" applyFill="1" applyBorder="1" applyAlignment="1">
      <alignment horizontal="center" vertical="center"/>
    </xf>
    <xf numFmtId="0" fontId="2" fillId="7" borderId="10" xfId="0" applyFont="1" applyFill="1" applyBorder="1"/>
    <xf numFmtId="1" fontId="2" fillId="7" borderId="10" xfId="0" applyNumberFormat="1" applyFont="1" applyFill="1" applyBorder="1"/>
    <xf numFmtId="164" fontId="16" fillId="7" borderId="3" xfId="0" applyNumberFormat="1" applyFont="1" applyFill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5" xfId="0" applyFont="1" applyBorder="1" applyAlignment="1">
      <alignment horizontal="center" vertical="center"/>
    </xf>
    <xf numFmtId="0" fontId="31" fillId="0" borderId="0" xfId="0" applyFont="1"/>
    <xf numFmtId="0" fontId="32" fillId="0" borderId="0" xfId="0" applyFont="1"/>
    <xf numFmtId="2" fontId="28" fillId="0" borderId="0" xfId="0" applyNumberFormat="1" applyFont="1" applyAlignment="1">
      <alignment horizontal="center" vertical="center"/>
    </xf>
    <xf numFmtId="2" fontId="28" fillId="0" borderId="2" xfId="0" applyNumberFormat="1" applyFont="1" applyBorder="1" applyAlignment="1">
      <alignment horizontal="center" vertical="center"/>
    </xf>
    <xf numFmtId="1" fontId="28" fillId="0" borderId="1" xfId="0" applyNumberFormat="1" applyFont="1" applyBorder="1"/>
    <xf numFmtId="164" fontId="29" fillId="0" borderId="3" xfId="0" applyNumberFormat="1" applyFont="1" applyBorder="1" applyAlignment="1">
      <alignment horizontal="center"/>
    </xf>
    <xf numFmtId="0" fontId="33" fillId="0" borderId="0" xfId="0" applyFont="1"/>
    <xf numFmtId="0" fontId="1" fillId="0" borderId="0" xfId="0" applyFont="1"/>
    <xf numFmtId="165" fontId="25" fillId="0" borderId="12" xfId="0" applyNumberFormat="1" applyFont="1" applyBorder="1" applyAlignment="1">
      <alignment horizontal="center"/>
    </xf>
    <xf numFmtId="165" fontId="25" fillId="0" borderId="13" xfId="0" applyNumberFormat="1" applyFont="1" applyBorder="1" applyAlignment="1">
      <alignment horizontal="center"/>
    </xf>
    <xf numFmtId="165" fontId="25" fillId="0" borderId="1" xfId="0" applyNumberFormat="1" applyFont="1" applyBorder="1" applyAlignment="1">
      <alignment horizontal="center"/>
    </xf>
    <xf numFmtId="2" fontId="26" fillId="0" borderId="14" xfId="0" applyNumberFormat="1" applyFont="1" applyBorder="1" applyAlignment="1">
      <alignment horizontal="center"/>
    </xf>
    <xf numFmtId="2" fontId="26" fillId="0" borderId="15" xfId="0" applyNumberFormat="1" applyFont="1" applyBorder="1" applyAlignment="1">
      <alignment horizontal="center"/>
    </xf>
    <xf numFmtId="2" fontId="26" fillId="0" borderId="17" xfId="0" applyNumberFormat="1" applyFont="1" applyBorder="1" applyAlignment="1">
      <alignment horizontal="center"/>
    </xf>
    <xf numFmtId="2" fontId="26" fillId="0" borderId="8" xfId="0" applyNumberFormat="1" applyFont="1" applyBorder="1" applyAlignment="1">
      <alignment horizontal="center"/>
    </xf>
    <xf numFmtId="2" fontId="26" fillId="0" borderId="0" xfId="0" applyNumberFormat="1" applyFont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view3D>
      <c:rotX val="10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1943806610950493E-2"/>
          <c:y val="1.4363120717292888E-2"/>
          <c:w val="0.91777634139016206"/>
          <c:h val="0.87499550811182158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REZ!$D$3:$D$37</c:f>
              <c:strCache>
                <c:ptCount val="35"/>
                <c:pt idx="0">
                  <c:v>C10:0</c:v>
                </c:pt>
                <c:pt idx="1">
                  <c:v>С11:0</c:v>
                </c:pt>
                <c:pt idx="2">
                  <c:v>С12:0</c:v>
                </c:pt>
                <c:pt idx="3">
                  <c:v>С13:0</c:v>
                </c:pt>
                <c:pt idx="4">
                  <c:v>С14:1</c:v>
                </c:pt>
                <c:pt idx="5">
                  <c:v>С14:0</c:v>
                </c:pt>
                <c:pt idx="6">
                  <c:v>С15:1</c:v>
                </c:pt>
                <c:pt idx="7">
                  <c:v>С15:0</c:v>
                </c:pt>
                <c:pt idx="8">
                  <c:v>С16:1n7</c:v>
                </c:pt>
                <c:pt idx="9">
                  <c:v>С16:0</c:v>
                </c:pt>
                <c:pt idx="10">
                  <c:v>С17:1n7</c:v>
                </c:pt>
                <c:pt idx="11">
                  <c:v>С17:0</c:v>
                </c:pt>
                <c:pt idx="12">
                  <c:v>C18:3n6</c:v>
                </c:pt>
                <c:pt idx="13">
                  <c:v>С18:2n6c</c:v>
                </c:pt>
                <c:pt idx="14">
                  <c:v>C18:1n9c</c:v>
                </c:pt>
                <c:pt idx="15">
                  <c:v>C18:3n3</c:v>
                </c:pt>
                <c:pt idx="17">
                  <c:v>C18:1n9t</c:v>
                </c:pt>
                <c:pt idx="18">
                  <c:v>C18:0</c:v>
                </c:pt>
                <c:pt idx="19">
                  <c:v>C20:4n6</c:v>
                </c:pt>
                <c:pt idx="20">
                  <c:v>C20:5</c:v>
                </c:pt>
                <c:pt idx="21">
                  <c:v>C20:3n8</c:v>
                </c:pt>
                <c:pt idx="22">
                  <c:v>C20:2</c:v>
                </c:pt>
                <c:pt idx="23">
                  <c:v>C20:1</c:v>
                </c:pt>
                <c:pt idx="24">
                  <c:v>C20:3n11</c:v>
                </c:pt>
                <c:pt idx="25">
                  <c:v>C20:0</c:v>
                </c:pt>
                <c:pt idx="26">
                  <c:v>С21:0</c:v>
                </c:pt>
                <c:pt idx="27">
                  <c:v>C22:2</c:v>
                </c:pt>
                <c:pt idx="28">
                  <c:v>C22:1</c:v>
                </c:pt>
                <c:pt idx="29">
                  <c:v>C22:6</c:v>
                </c:pt>
                <c:pt idx="30">
                  <c:v>c22:4</c:v>
                </c:pt>
                <c:pt idx="31">
                  <c:v>C22:5</c:v>
                </c:pt>
                <c:pt idx="32">
                  <c:v>C23:0</c:v>
                </c:pt>
                <c:pt idx="33">
                  <c:v>C24:1n9</c:v>
                </c:pt>
                <c:pt idx="34">
                  <c:v>C24:0</c:v>
                </c:pt>
              </c:strCache>
            </c:strRef>
          </c:cat>
          <c:val>
            <c:numRef>
              <c:f>REZ!$O$3:$O$37</c:f>
              <c:numCache>
                <c:formatCode>0.000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0.76767334811522159</c:v>
                </c:pt>
                <c:pt idx="9">
                  <c:v>21.5419392509374</c:v>
                </c:pt>
                <c:pt idx="10">
                  <c:v>0</c:v>
                </c:pt>
                <c:pt idx="11">
                  <c:v>0</c:v>
                </c:pt>
                <c:pt idx="12">
                  <c:v>0.19721436084495697</c:v>
                </c:pt>
                <c:pt idx="13">
                  <c:v>29.821510305503718</c:v>
                </c:pt>
                <c:pt idx="14">
                  <c:v>13.460670606231702</c:v>
                </c:pt>
                <c:pt idx="15">
                  <c:v>1.3152906083990374</c:v>
                </c:pt>
                <c:pt idx="16">
                  <c:v>0</c:v>
                </c:pt>
                <c:pt idx="17">
                  <c:v>0</c:v>
                </c:pt>
                <c:pt idx="18">
                  <c:v>11.173241062882223</c:v>
                </c:pt>
                <c:pt idx="19">
                  <c:v>11.001577598049282</c:v>
                </c:pt>
                <c:pt idx="20">
                  <c:v>0.34529125976797831</c:v>
                </c:pt>
                <c:pt idx="21">
                  <c:v>1.1116282792263841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2.6168455107681803</c:v>
                </c:pt>
                <c:pt idx="30">
                  <c:v>1.3797775940183885</c:v>
                </c:pt>
                <c:pt idx="31">
                  <c:v>0.98283686654735614</c:v>
                </c:pt>
                <c:pt idx="32">
                  <c:v>0</c:v>
                </c:pt>
                <c:pt idx="33">
                  <c:v>2.3960591886980769</c:v>
                </c:pt>
                <c:pt idx="34">
                  <c:v>1.8884441600100947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D-4653-979E-B23CB6B5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cylinder"/>
        <c:axId val="209510784"/>
        <c:axId val="209512320"/>
        <c:axId val="0"/>
      </c:bar3DChart>
      <c:catAx>
        <c:axId val="209510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9512320"/>
        <c:crosses val="autoZero"/>
        <c:auto val="1"/>
        <c:lblAlgn val="ctr"/>
        <c:lblOffset val="100"/>
        <c:noMultiLvlLbl val="0"/>
      </c:catAx>
      <c:valAx>
        <c:axId val="209512320"/>
        <c:scaling>
          <c:orientation val="minMax"/>
        </c:scaling>
        <c:delete val="0"/>
        <c:axPos val="l"/>
        <c:majorGridlines/>
        <c:numFmt formatCode="0.000" sourceLinked="1"/>
        <c:majorTickMark val="none"/>
        <c:minorTickMark val="none"/>
        <c:tickLblPos val="nextTo"/>
        <c:spPr>
          <a:ln w="9525">
            <a:noFill/>
          </a:ln>
        </c:spPr>
        <c:crossAx val="209510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940176" y="418353"/>
    <xdr:ext cx="7261599" cy="546809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41"/>
  <sheetViews>
    <sheetView workbookViewId="0">
      <selection sqref="A1:H41"/>
    </sheetView>
  </sheetViews>
  <sheetFormatPr defaultRowHeight="14.4" x14ac:dyDescent="0.3"/>
  <cols>
    <col min="1" max="1" width="8.88671875" customWidth="1"/>
    <col min="2" max="2" width="9.109375" style="25"/>
    <col min="5" max="5" width="17.88671875" customWidth="1"/>
  </cols>
  <sheetData>
    <row r="1" spans="1:7" x14ac:dyDescent="0.3">
      <c r="A1" t="s">
        <v>108</v>
      </c>
    </row>
    <row r="2" spans="1:7" ht="13.5" customHeight="1" x14ac:dyDescent="0.3">
      <c r="A2" s="133"/>
    </row>
    <row r="4" spans="1:7" x14ac:dyDescent="0.3">
      <c r="A4" t="s">
        <v>90</v>
      </c>
      <c r="B4" s="25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</row>
    <row r="5" spans="1:7" ht="15.75" customHeight="1" x14ac:dyDescent="0.3">
      <c r="A5">
        <v>1</v>
      </c>
      <c r="B5" s="25">
        <v>0.51800000000000002</v>
      </c>
      <c r="C5" t="s">
        <v>102</v>
      </c>
      <c r="D5">
        <v>8.0000000000000002E-3</v>
      </c>
      <c r="E5">
        <v>139674705</v>
      </c>
      <c r="F5">
        <v>0.497</v>
      </c>
      <c r="G5">
        <v>0.52900000000000003</v>
      </c>
    </row>
    <row r="6" spans="1:7" x14ac:dyDescent="0.3">
      <c r="A6">
        <v>2</v>
      </c>
      <c r="B6" s="25">
        <v>0.53500000000000003</v>
      </c>
      <c r="C6" t="s">
        <v>104</v>
      </c>
      <c r="D6">
        <v>6.0000000000000001E-3</v>
      </c>
      <c r="E6">
        <v>178773351</v>
      </c>
      <c r="F6">
        <v>0.52900000000000003</v>
      </c>
      <c r="G6">
        <v>0.54300000000000004</v>
      </c>
    </row>
    <row r="7" spans="1:7" x14ac:dyDescent="0.3">
      <c r="A7">
        <v>3</v>
      </c>
      <c r="B7" s="25">
        <v>0.54900000000000004</v>
      </c>
      <c r="C7" t="s">
        <v>104</v>
      </c>
      <c r="D7">
        <v>1.2999999999999999E-2</v>
      </c>
      <c r="E7">
        <v>18686613498</v>
      </c>
      <c r="F7">
        <v>0.54300000000000004</v>
      </c>
      <c r="G7">
        <v>0.6</v>
      </c>
    </row>
    <row r="8" spans="1:7" x14ac:dyDescent="0.3">
      <c r="A8">
        <v>4</v>
      </c>
      <c r="B8" s="25">
        <v>0.60699999999999998</v>
      </c>
      <c r="C8" t="s">
        <v>104</v>
      </c>
      <c r="D8">
        <v>2.3E-2</v>
      </c>
      <c r="E8">
        <v>6326497</v>
      </c>
      <c r="F8">
        <v>0.6</v>
      </c>
      <c r="G8">
        <v>0.65400000000000003</v>
      </c>
    </row>
    <row r="9" spans="1:7" x14ac:dyDescent="0.3">
      <c r="A9">
        <v>5</v>
      </c>
      <c r="B9" s="25">
        <v>0.66200000000000003</v>
      </c>
      <c r="C9" t="s">
        <v>104</v>
      </c>
      <c r="D9">
        <v>2.1999999999999999E-2</v>
      </c>
      <c r="E9">
        <v>2197053</v>
      </c>
      <c r="F9">
        <v>0.65400000000000003</v>
      </c>
      <c r="G9">
        <v>0.69</v>
      </c>
    </row>
    <row r="10" spans="1:7" x14ac:dyDescent="0.3">
      <c r="A10">
        <v>6</v>
      </c>
      <c r="B10" s="25">
        <v>0.70199999999999996</v>
      </c>
      <c r="C10" t="s">
        <v>104</v>
      </c>
      <c r="D10">
        <v>1.2999999999999999E-2</v>
      </c>
      <c r="E10">
        <v>7041375</v>
      </c>
      <c r="F10">
        <v>0.69</v>
      </c>
      <c r="G10">
        <v>0.79600000000000004</v>
      </c>
    </row>
    <row r="11" spans="1:7" x14ac:dyDescent="0.3">
      <c r="A11">
        <v>7</v>
      </c>
      <c r="B11" s="25">
        <v>0.88</v>
      </c>
      <c r="C11" t="s">
        <v>104</v>
      </c>
      <c r="D11">
        <v>1.0999999999999999E-2</v>
      </c>
      <c r="E11">
        <v>1147190</v>
      </c>
      <c r="F11">
        <v>0.86699999999999999</v>
      </c>
      <c r="G11">
        <v>0.97499999999999998</v>
      </c>
    </row>
    <row r="12" spans="1:7" x14ac:dyDescent="0.3">
      <c r="A12">
        <v>8</v>
      </c>
      <c r="B12" s="25">
        <v>5.5750000000000002</v>
      </c>
      <c r="C12" t="s">
        <v>103</v>
      </c>
      <c r="D12">
        <v>1.6E-2</v>
      </c>
      <c r="E12">
        <v>78841</v>
      </c>
      <c r="F12">
        <v>5.5439999999999996</v>
      </c>
      <c r="G12">
        <v>5.601</v>
      </c>
    </row>
    <row r="13" spans="1:7" x14ac:dyDescent="0.3">
      <c r="A13">
        <v>9</v>
      </c>
      <c r="B13" s="25">
        <v>6.5940000000000003</v>
      </c>
      <c r="C13" t="s">
        <v>105</v>
      </c>
      <c r="D13">
        <v>1.7999999999999999E-2</v>
      </c>
      <c r="E13">
        <v>105127</v>
      </c>
      <c r="F13">
        <v>6.577</v>
      </c>
      <c r="G13">
        <v>6.63</v>
      </c>
    </row>
    <row r="14" spans="1:7" x14ac:dyDescent="0.3">
      <c r="A14">
        <v>10</v>
      </c>
      <c r="B14" s="25">
        <v>6.7080000000000002</v>
      </c>
      <c r="C14" t="s">
        <v>103</v>
      </c>
      <c r="D14">
        <v>1.6E-2</v>
      </c>
      <c r="E14">
        <v>2950004</v>
      </c>
      <c r="F14">
        <v>6.6349999999999998</v>
      </c>
      <c r="G14">
        <v>6.75</v>
      </c>
    </row>
    <row r="15" spans="1:7" x14ac:dyDescent="0.3">
      <c r="A15">
        <v>11</v>
      </c>
      <c r="B15" s="25">
        <v>6.96</v>
      </c>
      <c r="C15" t="s">
        <v>103</v>
      </c>
      <c r="D15">
        <v>1.6E-2</v>
      </c>
      <c r="E15">
        <v>183235</v>
      </c>
      <c r="F15">
        <v>6.923</v>
      </c>
      <c r="G15">
        <v>6.9950000000000001</v>
      </c>
    </row>
    <row r="16" spans="1:7" x14ac:dyDescent="0.3">
      <c r="A16">
        <v>12</v>
      </c>
      <c r="B16" s="25">
        <v>7.2359999999999998</v>
      </c>
      <c r="C16" t="s">
        <v>103</v>
      </c>
      <c r="D16">
        <v>1.7000000000000001E-2</v>
      </c>
      <c r="E16">
        <v>48521</v>
      </c>
      <c r="F16">
        <v>7.2050000000000001</v>
      </c>
      <c r="G16">
        <v>7.2649999999999997</v>
      </c>
    </row>
    <row r="17" spans="1:7" x14ac:dyDescent="0.3">
      <c r="A17">
        <v>13</v>
      </c>
      <c r="B17" s="25">
        <v>7.4969999999999999</v>
      </c>
      <c r="C17" t="s">
        <v>105</v>
      </c>
      <c r="D17">
        <v>1.7999999999999999E-2</v>
      </c>
      <c r="E17">
        <v>27007</v>
      </c>
      <c r="F17">
        <v>7.4809999999999999</v>
      </c>
      <c r="G17">
        <v>7.5179999999999998</v>
      </c>
    </row>
    <row r="18" spans="1:7" x14ac:dyDescent="0.3">
      <c r="A18">
        <v>14</v>
      </c>
      <c r="B18" s="25">
        <v>7.5819999999999999</v>
      </c>
      <c r="C18" t="s">
        <v>102</v>
      </c>
      <c r="D18">
        <v>1.7000000000000001E-2</v>
      </c>
      <c r="E18">
        <v>4083828</v>
      </c>
      <c r="F18">
        <v>7.524</v>
      </c>
      <c r="G18">
        <v>7.5990000000000002</v>
      </c>
    </row>
    <row r="19" spans="1:7" x14ac:dyDescent="0.3">
      <c r="A19">
        <v>15</v>
      </c>
      <c r="B19" s="25">
        <v>7.6150000000000002</v>
      </c>
      <c r="C19" t="s">
        <v>104</v>
      </c>
      <c r="D19">
        <v>1.7000000000000001E-2</v>
      </c>
      <c r="E19">
        <v>1843336</v>
      </c>
      <c r="F19">
        <v>7.5990000000000002</v>
      </c>
      <c r="G19">
        <v>7.6349999999999998</v>
      </c>
    </row>
    <row r="20" spans="1:7" x14ac:dyDescent="0.3">
      <c r="A20">
        <v>16</v>
      </c>
      <c r="B20" s="25">
        <v>7.6429999999999998</v>
      </c>
      <c r="C20" t="s">
        <v>104</v>
      </c>
      <c r="D20">
        <v>1.7000000000000001E-2</v>
      </c>
      <c r="E20">
        <v>180119</v>
      </c>
      <c r="F20">
        <v>7.6349999999999998</v>
      </c>
      <c r="G20">
        <v>7.6849999999999996</v>
      </c>
    </row>
    <row r="21" spans="1:7" x14ac:dyDescent="0.3">
      <c r="A21">
        <v>17</v>
      </c>
      <c r="B21" s="25">
        <v>7.7430000000000003</v>
      </c>
      <c r="C21" t="s">
        <v>103</v>
      </c>
      <c r="D21">
        <v>1.6E-2</v>
      </c>
      <c r="E21">
        <v>1530090</v>
      </c>
      <c r="F21">
        <v>7.718</v>
      </c>
      <c r="G21">
        <v>7.7830000000000004</v>
      </c>
    </row>
    <row r="22" spans="1:7" x14ac:dyDescent="0.3">
      <c r="A22">
        <v>18</v>
      </c>
      <c r="B22" s="25">
        <v>7.8360000000000003</v>
      </c>
      <c r="C22" t="s">
        <v>102</v>
      </c>
      <c r="D22">
        <v>1.7000000000000001E-2</v>
      </c>
      <c r="E22">
        <v>60196</v>
      </c>
      <c r="F22">
        <v>7.79</v>
      </c>
      <c r="G22">
        <v>7.8550000000000004</v>
      </c>
    </row>
    <row r="23" spans="1:7" x14ac:dyDescent="0.3">
      <c r="A23">
        <v>19</v>
      </c>
      <c r="B23" s="25">
        <v>7.9669999999999996</v>
      </c>
      <c r="C23" t="s">
        <v>103</v>
      </c>
      <c r="D23">
        <v>1.6E-2</v>
      </c>
      <c r="E23">
        <v>241235</v>
      </c>
      <c r="F23">
        <v>7.93</v>
      </c>
      <c r="G23">
        <v>8</v>
      </c>
    </row>
    <row r="24" spans="1:7" x14ac:dyDescent="0.3">
      <c r="A24">
        <v>20</v>
      </c>
      <c r="B24" s="25">
        <v>8.3729999999999993</v>
      </c>
      <c r="C24" t="s">
        <v>102</v>
      </c>
      <c r="D24">
        <v>1.7000000000000001E-2</v>
      </c>
      <c r="E24">
        <v>1506582</v>
      </c>
      <c r="F24">
        <v>8.3290000000000006</v>
      </c>
      <c r="G24">
        <v>8.3949999999999996</v>
      </c>
    </row>
    <row r="25" spans="1:7" x14ac:dyDescent="0.3">
      <c r="A25">
        <v>21</v>
      </c>
      <c r="B25" s="25">
        <v>8.4019999999999992</v>
      </c>
      <c r="C25" t="s">
        <v>104</v>
      </c>
      <c r="D25">
        <v>1.7000000000000001E-2</v>
      </c>
      <c r="E25">
        <v>47285</v>
      </c>
      <c r="F25">
        <v>8.3949999999999996</v>
      </c>
      <c r="G25">
        <v>8.4269999999999996</v>
      </c>
    </row>
    <row r="26" spans="1:7" x14ac:dyDescent="0.3">
      <c r="A26">
        <v>22</v>
      </c>
      <c r="B26" s="25">
        <v>8.4600000000000009</v>
      </c>
      <c r="C26" t="s">
        <v>107</v>
      </c>
      <c r="D26">
        <v>1.7000000000000001E-2</v>
      </c>
      <c r="E26">
        <v>152229</v>
      </c>
      <c r="F26">
        <v>8.4269999999999996</v>
      </c>
      <c r="G26">
        <v>8.4819999999999993</v>
      </c>
    </row>
    <row r="27" spans="1:7" x14ac:dyDescent="0.3">
      <c r="A27">
        <v>23</v>
      </c>
      <c r="B27" s="25">
        <v>8.5510000000000002</v>
      </c>
      <c r="C27" t="s">
        <v>107</v>
      </c>
      <c r="D27">
        <v>8.9999999999999993E-3</v>
      </c>
      <c r="E27">
        <v>10531</v>
      </c>
      <c r="F27">
        <v>8.4819999999999993</v>
      </c>
      <c r="G27">
        <v>8.5649999999999995</v>
      </c>
    </row>
    <row r="28" spans="1:7" x14ac:dyDescent="0.3">
      <c r="A28">
        <v>24</v>
      </c>
      <c r="B28" s="25">
        <v>8.6920000000000002</v>
      </c>
      <c r="C28" t="s">
        <v>103</v>
      </c>
      <c r="D28">
        <v>1.7000000000000001E-2</v>
      </c>
      <c r="E28">
        <v>43306</v>
      </c>
      <c r="F28">
        <v>8.6720000000000006</v>
      </c>
      <c r="G28">
        <v>8.7200000000000006</v>
      </c>
    </row>
    <row r="29" spans="1:7" x14ac:dyDescent="0.3">
      <c r="A29">
        <v>25</v>
      </c>
      <c r="B29" s="25">
        <v>9.2390000000000008</v>
      </c>
      <c r="C29" t="s">
        <v>104</v>
      </c>
      <c r="D29">
        <v>1.7000000000000001E-2</v>
      </c>
      <c r="E29">
        <v>358357</v>
      </c>
      <c r="F29">
        <v>9.2200000000000006</v>
      </c>
      <c r="G29">
        <v>9.2560000000000002</v>
      </c>
    </row>
    <row r="30" spans="1:7" x14ac:dyDescent="0.3">
      <c r="A30">
        <v>26</v>
      </c>
      <c r="B30" s="25">
        <v>9.2720000000000002</v>
      </c>
      <c r="C30" t="s">
        <v>104</v>
      </c>
      <c r="D30">
        <v>1.7000000000000001E-2</v>
      </c>
      <c r="E30">
        <v>188950</v>
      </c>
      <c r="F30">
        <v>9.2560000000000002</v>
      </c>
      <c r="G30">
        <v>9.2880000000000003</v>
      </c>
    </row>
    <row r="31" spans="1:7" x14ac:dyDescent="0.3">
      <c r="A31">
        <v>27</v>
      </c>
      <c r="B31" s="25">
        <v>9.3010000000000002</v>
      </c>
      <c r="C31" t="s">
        <v>106</v>
      </c>
      <c r="D31">
        <v>1.7000000000000001E-2</v>
      </c>
      <c r="E31">
        <v>134592</v>
      </c>
      <c r="F31">
        <v>9.2880000000000003</v>
      </c>
      <c r="G31">
        <v>9.327</v>
      </c>
    </row>
    <row r="32" spans="1:7" x14ac:dyDescent="0.3">
      <c r="A32">
        <v>28</v>
      </c>
      <c r="B32" s="25">
        <v>9.5690000000000008</v>
      </c>
      <c r="C32" t="s">
        <v>103</v>
      </c>
      <c r="D32">
        <v>1.7000000000000001E-2</v>
      </c>
      <c r="E32">
        <v>143994</v>
      </c>
      <c r="F32">
        <v>9.5449999999999999</v>
      </c>
      <c r="G32">
        <v>9.6050000000000004</v>
      </c>
    </row>
    <row r="33" spans="1:7" x14ac:dyDescent="0.3">
      <c r="A33">
        <v>29</v>
      </c>
      <c r="B33" s="25">
        <v>9.984</v>
      </c>
      <c r="C33" t="s">
        <v>103</v>
      </c>
      <c r="D33">
        <v>1.7000000000000001E-2</v>
      </c>
      <c r="E33">
        <v>44800</v>
      </c>
      <c r="F33">
        <v>9.9489999999999998</v>
      </c>
      <c r="G33">
        <v>10.007999999999999</v>
      </c>
    </row>
    <row r="34" spans="1:7" x14ac:dyDescent="0.3">
      <c r="A34">
        <v>30</v>
      </c>
      <c r="B34" s="25">
        <v>10.291</v>
      </c>
      <c r="C34" t="s">
        <v>103</v>
      </c>
      <c r="D34">
        <v>1.7999999999999999E-2</v>
      </c>
      <c r="E34">
        <v>328122</v>
      </c>
      <c r="F34">
        <v>10.25</v>
      </c>
      <c r="G34">
        <v>10.324999999999999</v>
      </c>
    </row>
    <row r="35" spans="1:7" x14ac:dyDescent="0.3">
      <c r="A35">
        <v>31</v>
      </c>
      <c r="B35" s="25">
        <v>10.382999999999999</v>
      </c>
      <c r="C35" t="s">
        <v>103</v>
      </c>
      <c r="D35">
        <v>1.7000000000000001E-2</v>
      </c>
      <c r="E35">
        <v>258608</v>
      </c>
      <c r="F35">
        <v>10.356</v>
      </c>
      <c r="G35">
        <v>10.414999999999999</v>
      </c>
    </row>
    <row r="36" spans="1:7" x14ac:dyDescent="0.3">
      <c r="A36">
        <v>32</v>
      </c>
      <c r="B36" s="25">
        <v>11.071999999999999</v>
      </c>
      <c r="C36" t="s">
        <v>103</v>
      </c>
      <c r="D36">
        <v>2.3E-2</v>
      </c>
      <c r="E36">
        <v>407562</v>
      </c>
      <c r="F36">
        <v>11.023</v>
      </c>
      <c r="G36">
        <v>11.115</v>
      </c>
    </row>
    <row r="37" spans="1:7" x14ac:dyDescent="0.3">
      <c r="A37">
        <v>33</v>
      </c>
      <c r="B37" s="25">
        <v>11.651999999999999</v>
      </c>
      <c r="C37" t="s">
        <v>103</v>
      </c>
      <c r="D37">
        <v>1.9E-2</v>
      </c>
      <c r="E37">
        <v>46964</v>
      </c>
      <c r="F37">
        <v>11.613</v>
      </c>
      <c r="G37">
        <v>11.679</v>
      </c>
    </row>
    <row r="38" spans="1:7" x14ac:dyDescent="0.3">
      <c r="A38">
        <v>34</v>
      </c>
      <c r="B38" s="25">
        <v>11.879</v>
      </c>
      <c r="C38" t="s">
        <v>103</v>
      </c>
      <c r="D38">
        <v>1.9E-2</v>
      </c>
      <c r="E38">
        <v>6972658</v>
      </c>
      <c r="F38">
        <v>11.831</v>
      </c>
      <c r="G38">
        <v>11.96</v>
      </c>
    </row>
    <row r="39" spans="1:7" x14ac:dyDescent="0.3">
      <c r="A39">
        <v>35</v>
      </c>
      <c r="B39" s="25">
        <v>12.292</v>
      </c>
      <c r="C39" t="s">
        <v>102</v>
      </c>
      <c r="D39">
        <v>2.1999999999999999E-2</v>
      </c>
      <c r="E39">
        <v>77100</v>
      </c>
      <c r="F39">
        <v>12.236000000000001</v>
      </c>
      <c r="G39">
        <v>12.314</v>
      </c>
    </row>
    <row r="40" spans="1:7" x14ac:dyDescent="0.3">
      <c r="A40">
        <v>36</v>
      </c>
      <c r="B40" s="25">
        <v>12.336</v>
      </c>
      <c r="C40" t="s">
        <v>106</v>
      </c>
      <c r="D40">
        <v>2.1000000000000001E-2</v>
      </c>
      <c r="E40">
        <v>67613</v>
      </c>
      <c r="F40">
        <v>12.314</v>
      </c>
      <c r="G40">
        <v>12.372</v>
      </c>
    </row>
    <row r="41" spans="1:7" x14ac:dyDescent="0.3">
      <c r="A41">
        <v>37</v>
      </c>
      <c r="B41" s="25">
        <v>12.456</v>
      </c>
      <c r="C41" t="s">
        <v>106</v>
      </c>
      <c r="D41">
        <v>2.3E-2</v>
      </c>
      <c r="E41">
        <v>279509</v>
      </c>
      <c r="F41">
        <v>12.43</v>
      </c>
      <c r="G41">
        <v>12.49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R59"/>
  <sheetViews>
    <sheetView tabSelected="1" zoomScale="85" zoomScaleNormal="85" workbookViewId="0">
      <selection activeCell="E21" sqref="E21"/>
    </sheetView>
  </sheetViews>
  <sheetFormatPr defaultRowHeight="14.4" x14ac:dyDescent="0.3"/>
  <cols>
    <col min="1" max="1" width="10.5546875" customWidth="1"/>
    <col min="2" max="2" width="12" customWidth="1"/>
    <col min="3" max="3" width="16.109375" customWidth="1"/>
    <col min="5" max="5" width="12" bestFit="1" customWidth="1"/>
    <col min="6" max="6" width="13" customWidth="1"/>
    <col min="7" max="7" width="12.6640625" customWidth="1"/>
    <col min="8" max="8" width="12.44140625" hidden="1" customWidth="1"/>
    <col min="9" max="9" width="6.33203125" hidden="1" customWidth="1"/>
    <col min="10" max="10" width="6.33203125" style="42" hidden="1" customWidth="1"/>
    <col min="11" max="11" width="6.44140625" style="44" hidden="1" customWidth="1"/>
    <col min="12" max="12" width="9.109375" style="36" hidden="1" customWidth="1"/>
    <col min="13" max="13" width="9.109375" hidden="1" customWidth="1"/>
    <col min="14" max="14" width="11.109375" style="24" hidden="1" customWidth="1"/>
    <col min="15" max="15" width="8.33203125" style="109" customWidth="1"/>
    <col min="16" max="16" width="9.109375" hidden="1" customWidth="1"/>
    <col min="17" max="17" width="12.33203125" customWidth="1"/>
  </cols>
  <sheetData>
    <row r="1" spans="1:15" s="132" customFormat="1" ht="26.4" thickBot="1" x14ac:dyDescent="0.55000000000000004">
      <c r="A1" s="123" t="str">
        <f>'1'!A1</f>
        <v>Signal: O1_905564632403,D\FID1A,ch</v>
      </c>
      <c r="B1" s="123"/>
      <c r="C1" s="123"/>
      <c r="D1" s="123"/>
      <c r="E1" s="123"/>
      <c r="F1" s="124" t="s">
        <v>0</v>
      </c>
      <c r="G1" s="124" t="s">
        <v>1</v>
      </c>
      <c r="H1" s="125" t="s">
        <v>75</v>
      </c>
      <c r="I1" s="126" t="s">
        <v>73</v>
      </c>
      <c r="J1" s="127" t="s">
        <v>74</v>
      </c>
      <c r="K1" s="128"/>
      <c r="L1" s="129"/>
      <c r="M1" s="130"/>
      <c r="N1" s="130"/>
      <c r="O1" s="131"/>
    </row>
    <row r="2" spans="1:15" ht="15" thickBot="1" x14ac:dyDescent="0.35">
      <c r="A2" s="3" t="s">
        <v>2</v>
      </c>
      <c r="B2" s="4"/>
      <c r="C2" s="4"/>
      <c r="D2" s="4"/>
      <c r="E2" s="45" t="s">
        <v>3</v>
      </c>
      <c r="F2" s="5" t="s">
        <v>4</v>
      </c>
      <c r="G2" s="5"/>
      <c r="H2" s="65" t="s">
        <v>76</v>
      </c>
      <c r="I2" s="6">
        <v>2</v>
      </c>
      <c r="J2" s="7">
        <f t="shared" ref="J2:J37" si="0">I2*2</f>
        <v>4</v>
      </c>
      <c r="K2" s="39" t="s">
        <v>71</v>
      </c>
      <c r="L2" s="37" t="s">
        <v>72</v>
      </c>
      <c r="M2" s="8"/>
      <c r="N2" s="59"/>
      <c r="O2" s="105" t="s">
        <v>77</v>
      </c>
    </row>
    <row r="3" spans="1:15" ht="15" thickBot="1" x14ac:dyDescent="0.35">
      <c r="A3" s="20"/>
      <c r="B3" s="9">
        <v>1</v>
      </c>
      <c r="C3" s="10" t="s">
        <v>5</v>
      </c>
      <c r="D3" s="10" t="s">
        <v>6</v>
      </c>
      <c r="E3" s="1"/>
      <c r="F3" s="11" t="str">
        <f ca="1">IF(
   E3="",
    "",
    IF(
        ISNA(MATCH(E3,SPECOCRUG!$A:$A,0)),
        0,
        OFFSET(
            SPECOCRUG!$A$1,
            MATCH(E3,SPECOCRUG!$A:$A,0)-1,
            1
        )
    )
)</f>
        <v/>
      </c>
      <c r="G3" s="9" t="str">
        <f ca="1">F3</f>
        <v/>
      </c>
      <c r="H3" s="11">
        <v>0</v>
      </c>
      <c r="I3" s="12">
        <v>2</v>
      </c>
      <c r="J3" s="2">
        <f t="shared" si="0"/>
        <v>4</v>
      </c>
      <c r="K3" s="39"/>
      <c r="L3" s="38"/>
      <c r="M3" s="13">
        <f t="shared" ref="M3:M37" ca="1" si="1">IFERROR(F3/L3,0)</f>
        <v>0</v>
      </c>
      <c r="N3" s="60"/>
      <c r="O3" s="104">
        <f t="shared" ref="O3:O37" ca="1" si="2">IFERROR(G3*100/OBSUMM,0)</f>
        <v>0</v>
      </c>
    </row>
    <row r="4" spans="1:15" ht="15" thickBot="1" x14ac:dyDescent="0.35">
      <c r="A4" s="20"/>
      <c r="B4" s="9">
        <v>2</v>
      </c>
      <c r="C4" s="10" t="s">
        <v>7</v>
      </c>
      <c r="D4" s="10" t="s">
        <v>8</v>
      </c>
      <c r="E4" s="1"/>
      <c r="F4" s="11" t="str">
        <f ca="1">IF(
   E4="",
    "",
    IF(
        ISNA(MATCH(E4,SPECOCRUG!$A:$A,0)),
        0,
        OFFSET(
            SPECOCRUG!$A$1,
            MATCH(E4,SPECOCRUG!$A:$A,0)-1,
            1
        )
    )
)</f>
        <v/>
      </c>
      <c r="G4" s="9" t="str">
        <f t="shared" ref="G4:G20" ca="1" si="3">F4</f>
        <v/>
      </c>
      <c r="H4" s="11">
        <v>15015883</v>
      </c>
      <c r="I4" s="12">
        <v>1</v>
      </c>
      <c r="J4" s="2">
        <f t="shared" si="0"/>
        <v>2</v>
      </c>
      <c r="K4" s="39">
        <f>IFERROR(H4/10938814,0)</f>
        <v>1.3727158172723295</v>
      </c>
      <c r="L4" s="38">
        <f>K4/I4</f>
        <v>1.3727158172723295</v>
      </c>
      <c r="M4" s="13">
        <f t="shared" ca="1" si="1"/>
        <v>0</v>
      </c>
      <c r="N4" s="60">
        <f t="shared" ref="N4:N37" ca="1" si="4">M4</f>
        <v>0</v>
      </c>
      <c r="O4" s="104">
        <f t="shared" ca="1" si="2"/>
        <v>0</v>
      </c>
    </row>
    <row r="5" spans="1:15" ht="15" thickBot="1" x14ac:dyDescent="0.35">
      <c r="A5" s="20"/>
      <c r="B5" s="9">
        <v>3</v>
      </c>
      <c r="C5" s="10" t="s">
        <v>9</v>
      </c>
      <c r="D5" s="10" t="s">
        <v>10</v>
      </c>
      <c r="E5" s="1"/>
      <c r="F5" s="11" t="str">
        <f ca="1">IF(
   E5="",
    "",
    IF(
        ISNA(MATCH(E5,SPECOCRUG!$A:$A,0)),
        0,
        OFFSET(
            SPECOCRUG!$A$1,
            MATCH(E5,SPECOCRUG!$A:$A,0)-1,
            1
        )
    )
)</f>
        <v/>
      </c>
      <c r="G5" s="9" t="str">
        <f t="shared" ca="1" si="3"/>
        <v/>
      </c>
      <c r="H5" s="11">
        <v>20176336</v>
      </c>
      <c r="I5" s="12">
        <v>2</v>
      </c>
      <c r="J5" s="2">
        <f t="shared" si="0"/>
        <v>4</v>
      </c>
      <c r="K5" s="39">
        <f t="shared" ref="K5:K37" si="5">IFERROR(H5/10938814,0)</f>
        <v>1.844471987548193</v>
      </c>
      <c r="L5" s="38">
        <f t="shared" ref="L5:L37" si="6">K5/I5</f>
        <v>0.92223599377409649</v>
      </c>
      <c r="M5" s="13">
        <f t="shared" ca="1" si="1"/>
        <v>0</v>
      </c>
      <c r="N5" s="60">
        <f t="shared" ca="1" si="4"/>
        <v>0</v>
      </c>
      <c r="O5" s="104">
        <f t="shared" ca="1" si="2"/>
        <v>0</v>
      </c>
    </row>
    <row r="6" spans="1:15" ht="15" thickBot="1" x14ac:dyDescent="0.35">
      <c r="A6" s="20"/>
      <c r="B6" s="9">
        <v>4</v>
      </c>
      <c r="C6" s="10" t="s">
        <v>11</v>
      </c>
      <c r="D6" s="10" t="s">
        <v>12</v>
      </c>
      <c r="E6" s="1"/>
      <c r="F6" s="11" t="str">
        <f ca="1">IF(
   E6="",
    "",
    IF(
        ISNA(MATCH(E6,SPECOCRUG!$A:$A,0)),
        0,
        OFFSET(
            SPECOCRUG!$A$1,
            MATCH(E6,SPECOCRUG!$A:$A,0)-1,
            1
        )
    )
)</f>
        <v/>
      </c>
      <c r="G6" s="9" t="str">
        <f t="shared" ca="1" si="3"/>
        <v/>
      </c>
      <c r="H6" s="11">
        <v>12196648</v>
      </c>
      <c r="I6" s="12">
        <v>1</v>
      </c>
      <c r="J6" s="2">
        <f t="shared" si="0"/>
        <v>2</v>
      </c>
      <c r="K6" s="39">
        <f t="shared" si="5"/>
        <v>1.1149881513663182</v>
      </c>
      <c r="L6" s="38">
        <f t="shared" si="6"/>
        <v>1.1149881513663182</v>
      </c>
      <c r="M6" s="13">
        <f t="shared" ca="1" si="1"/>
        <v>0</v>
      </c>
      <c r="N6" s="60">
        <f t="shared" ca="1" si="4"/>
        <v>0</v>
      </c>
      <c r="O6" s="104">
        <f t="shared" ca="1" si="2"/>
        <v>0</v>
      </c>
    </row>
    <row r="7" spans="1:15" ht="15" thickBot="1" x14ac:dyDescent="0.35">
      <c r="A7" s="20"/>
      <c r="B7" s="9">
        <v>5</v>
      </c>
      <c r="C7" s="10" t="s">
        <v>13</v>
      </c>
      <c r="D7" s="10" t="s">
        <v>14</v>
      </c>
      <c r="E7" s="1"/>
      <c r="F7" s="11" t="str">
        <f ca="1">IF(
   E7="",
    "",
    IF(
        ISNA(MATCH(E7,SPECOCRUG!$A:$A,0)),
        0,
        OFFSET(
            SPECOCRUG!$A$1,
            MATCH(E7,SPECOCRUG!$A:$A,0)-1,
            1
        )
    )
)</f>
        <v/>
      </c>
      <c r="G7" s="9" t="str">
        <f t="shared" ca="1" si="3"/>
        <v/>
      </c>
      <c r="H7" s="11">
        <v>12140723</v>
      </c>
      <c r="I7" s="12">
        <v>1</v>
      </c>
      <c r="J7" s="2">
        <f t="shared" si="0"/>
        <v>2</v>
      </c>
      <c r="K7" s="39">
        <f t="shared" si="5"/>
        <v>1.1098756227137603</v>
      </c>
      <c r="L7" s="38">
        <f t="shared" si="6"/>
        <v>1.1098756227137603</v>
      </c>
      <c r="M7" s="13">
        <f t="shared" ca="1" si="1"/>
        <v>0</v>
      </c>
      <c r="N7" s="60">
        <f t="shared" ca="1" si="4"/>
        <v>0</v>
      </c>
      <c r="O7" s="104">
        <f t="shared" ca="1" si="2"/>
        <v>0</v>
      </c>
    </row>
    <row r="8" spans="1:15" ht="15" thickBot="1" x14ac:dyDescent="0.35">
      <c r="A8" s="20"/>
      <c r="B8" s="9">
        <v>6</v>
      </c>
      <c r="C8" s="10" t="s">
        <v>15</v>
      </c>
      <c r="D8" s="10" t="s">
        <v>16</v>
      </c>
      <c r="E8" s="1"/>
      <c r="F8" s="11" t="str">
        <f ca="1">IF(
   E8="",
    "",
    IF(
        ISNA(MATCH(E8,SPECOCRUG!$A:$A,0)),
        0,
        OFFSET(
            SPECOCRUG!$A$1,
            MATCH(E8,SPECOCRUG!$A:$A,0)-1,
            1
        )
    )
)</f>
        <v/>
      </c>
      <c r="G8" s="9" t="str">
        <f t="shared" ca="1" si="3"/>
        <v/>
      </c>
      <c r="H8" s="11">
        <v>24034399</v>
      </c>
      <c r="I8" s="12">
        <v>2</v>
      </c>
      <c r="J8" s="2">
        <f t="shared" si="0"/>
        <v>4</v>
      </c>
      <c r="K8" s="39">
        <f t="shared" si="5"/>
        <v>2.1971668043720278</v>
      </c>
      <c r="L8" s="38">
        <f t="shared" si="6"/>
        <v>1.0985834021860139</v>
      </c>
      <c r="M8" s="13">
        <f t="shared" ca="1" si="1"/>
        <v>0</v>
      </c>
      <c r="N8" s="60">
        <f t="shared" ca="1" si="4"/>
        <v>0</v>
      </c>
      <c r="O8" s="104">
        <f t="shared" ca="1" si="2"/>
        <v>0</v>
      </c>
    </row>
    <row r="9" spans="1:15" ht="15" thickBot="1" x14ac:dyDescent="0.35">
      <c r="A9" s="20"/>
      <c r="B9" s="9">
        <v>7</v>
      </c>
      <c r="C9" s="10" t="s">
        <v>17</v>
      </c>
      <c r="D9" s="10" t="s">
        <v>18</v>
      </c>
      <c r="E9" s="1"/>
      <c r="F9" s="11" t="str">
        <f ca="1">IF(
   E9="",
    "",
    IF(
        ISNA(MATCH(E9,SPECOCRUG!$A:$A,0)),
        0,
        OFFSET(
            SPECOCRUG!$A$1,
            MATCH(E9,SPECOCRUG!$A:$A,0)-1,
            1
        )
    )
)</f>
        <v/>
      </c>
      <c r="G9" s="9"/>
      <c r="H9" s="11"/>
      <c r="I9" s="12">
        <v>1</v>
      </c>
      <c r="J9" s="2">
        <f t="shared" si="0"/>
        <v>2</v>
      </c>
      <c r="K9" s="39">
        <f t="shared" si="5"/>
        <v>0</v>
      </c>
      <c r="L9" s="38">
        <f t="shared" si="6"/>
        <v>0</v>
      </c>
      <c r="M9" s="13">
        <f t="shared" ca="1" si="1"/>
        <v>0</v>
      </c>
      <c r="N9" s="60">
        <f t="shared" ca="1" si="4"/>
        <v>0</v>
      </c>
      <c r="O9" s="104">
        <f t="shared" ca="1" si="2"/>
        <v>0</v>
      </c>
    </row>
    <row r="10" spans="1:15" ht="15" thickBot="1" x14ac:dyDescent="0.35">
      <c r="A10" s="20"/>
      <c r="B10" s="9">
        <v>8</v>
      </c>
      <c r="C10" s="10" t="s">
        <v>19</v>
      </c>
      <c r="D10" s="10" t="s">
        <v>20</v>
      </c>
      <c r="E10" s="1"/>
      <c r="F10" s="11" t="str">
        <f ca="1">IF(
   E10="",
    "",
    IF(
        ISNA(MATCH(E10,SPECOCRUG!$A:$A,0)),
        0,
        OFFSET(
            SPECOCRUG!$A$1,
            MATCH(E10,SPECOCRUG!$A:$A,0)-1,
            1
        )
    )
)</f>
        <v/>
      </c>
      <c r="G10" s="9" t="str">
        <f t="shared" ca="1" si="3"/>
        <v/>
      </c>
      <c r="H10" s="11">
        <v>11750725</v>
      </c>
      <c r="I10" s="12">
        <v>1</v>
      </c>
      <c r="J10" s="2">
        <f t="shared" si="0"/>
        <v>2</v>
      </c>
      <c r="K10" s="39">
        <f t="shared" si="5"/>
        <v>1.074222945924485</v>
      </c>
      <c r="L10" s="38">
        <f t="shared" si="6"/>
        <v>1.074222945924485</v>
      </c>
      <c r="M10" s="13">
        <f t="shared" ca="1" si="1"/>
        <v>0</v>
      </c>
      <c r="N10" s="60">
        <f t="shared" ca="1" si="4"/>
        <v>0</v>
      </c>
      <c r="O10" s="104">
        <f t="shared" ca="1" si="2"/>
        <v>0</v>
      </c>
    </row>
    <row r="11" spans="1:15" ht="15" thickBot="1" x14ac:dyDescent="0.35">
      <c r="A11" s="20"/>
      <c r="B11" s="9">
        <v>9</v>
      </c>
      <c r="C11" s="10" t="s">
        <v>21</v>
      </c>
      <c r="D11" s="10" t="s">
        <v>22</v>
      </c>
      <c r="E11" s="1">
        <v>6.6</v>
      </c>
      <c r="F11" s="11">
        <f ca="1">IF(
   E11="",
    "",
    IF(
        ISNA(MATCH(E11,SPECOCRUG!$A:$A,0)),
        0,
        OFFSET(
            SPECOCRUG!$A$1,
            MATCH(E11,SPECOCRUG!$A:$A,0)-1,
            1
        )
    )
)</f>
        <v>105127</v>
      </c>
      <c r="G11" s="9">
        <f t="shared" ca="1" si="3"/>
        <v>105127</v>
      </c>
      <c r="H11" s="11">
        <v>10985443</v>
      </c>
      <c r="I11" s="12">
        <v>1</v>
      </c>
      <c r="J11" s="2">
        <f t="shared" si="0"/>
        <v>2</v>
      </c>
      <c r="K11" s="39">
        <f t="shared" si="5"/>
        <v>1.0042627107472528</v>
      </c>
      <c r="L11" s="38">
        <f t="shared" si="6"/>
        <v>1.0042627107472528</v>
      </c>
      <c r="M11" s="13">
        <f t="shared" ca="1" si="1"/>
        <v>104680.77613055751</v>
      </c>
      <c r="N11" s="60">
        <f t="shared" ca="1" si="4"/>
        <v>104680.77613055751</v>
      </c>
      <c r="O11" s="104">
        <f t="shared" ca="1" si="2"/>
        <v>0.76767334811522159</v>
      </c>
    </row>
    <row r="12" spans="1:15" ht="15" thickBot="1" x14ac:dyDescent="0.35">
      <c r="A12" s="20"/>
      <c r="B12" s="9">
        <v>10</v>
      </c>
      <c r="C12" s="10" t="s">
        <v>23</v>
      </c>
      <c r="D12" s="10" t="s">
        <v>24</v>
      </c>
      <c r="E12" s="1">
        <v>6.7</v>
      </c>
      <c r="F12" s="11">
        <f ca="1">IF(
   E12="",
    "",
    IF(
        ISNA(MATCH(E12,SPECOCRUG!$A:$A,0)),
        0,
        OFFSET(
            SPECOCRUG!$A$1,
            MATCH(E12,SPECOCRUG!$A:$A,0)-1,
            1
        )
    )
)</f>
        <v>2950004</v>
      </c>
      <c r="G12" s="9">
        <f t="shared" ca="1" si="3"/>
        <v>2950004</v>
      </c>
      <c r="H12" s="11">
        <v>33841508</v>
      </c>
      <c r="I12" s="12">
        <v>3</v>
      </c>
      <c r="J12" s="2">
        <f t="shared" si="0"/>
        <v>6</v>
      </c>
      <c r="K12" s="39">
        <f t="shared" si="5"/>
        <v>3.0937090620610244</v>
      </c>
      <c r="L12" s="38">
        <f t="shared" si="6"/>
        <v>1.0312363540203415</v>
      </c>
      <c r="M12" s="13">
        <f t="shared" ca="1" si="1"/>
        <v>2860647.7928160881</v>
      </c>
      <c r="N12" s="60">
        <f t="shared" ca="1" si="4"/>
        <v>2860647.7928160881</v>
      </c>
      <c r="O12" s="104">
        <f t="shared" ca="1" si="2"/>
        <v>21.5419392509374</v>
      </c>
    </row>
    <row r="13" spans="1:15" ht="15" thickBot="1" x14ac:dyDescent="0.35">
      <c r="A13" s="20"/>
      <c r="B13" s="9">
        <v>11</v>
      </c>
      <c r="C13" s="10" t="s">
        <v>25</v>
      </c>
      <c r="D13" s="10" t="s">
        <v>26</v>
      </c>
      <c r="E13" s="1"/>
      <c r="F13" s="11" t="str">
        <f ca="1">IF(
   E13="",
    "",
    IF(
        ISNA(MATCH(E13,SPECOCRUG!$A:$A,0)),
        0,
        OFFSET(
            SPECOCRUG!$A$1,
            MATCH(E13,SPECOCRUG!$A:$A,0)-1,
            1
        )
    )
)</f>
        <v/>
      </c>
      <c r="G13" s="9" t="str">
        <f t="shared" ca="1" si="3"/>
        <v/>
      </c>
      <c r="H13" s="11">
        <v>10938814</v>
      </c>
      <c r="I13" s="12">
        <v>1</v>
      </c>
      <c r="J13" s="2">
        <f t="shared" si="0"/>
        <v>2</v>
      </c>
      <c r="K13" s="39">
        <f t="shared" si="5"/>
        <v>1</v>
      </c>
      <c r="L13" s="38">
        <f t="shared" si="6"/>
        <v>1</v>
      </c>
      <c r="M13" s="13">
        <f t="shared" ca="1" si="1"/>
        <v>0</v>
      </c>
      <c r="N13" s="60">
        <f t="shared" ca="1" si="4"/>
        <v>0</v>
      </c>
      <c r="O13" s="104">
        <f t="shared" ca="1" si="2"/>
        <v>0</v>
      </c>
    </row>
    <row r="14" spans="1:15" ht="15" thickBot="1" x14ac:dyDescent="0.35">
      <c r="A14" s="20"/>
      <c r="B14" s="9">
        <v>12</v>
      </c>
      <c r="C14" s="10" t="s">
        <v>27</v>
      </c>
      <c r="D14" s="10" t="s">
        <v>28</v>
      </c>
      <c r="E14" s="1"/>
      <c r="F14" s="11" t="str">
        <f ca="1">IF(
   E14="",
    "",
    IF(
        ISNA(MATCH(E14,SPECOCRUG!$A:$A,0)),
        0,
        OFFSET(
            SPECOCRUG!$A$1,
            MATCH(E14,SPECOCRUG!$A:$A,0)-1,
            1
        )
    )
)</f>
        <v/>
      </c>
      <c r="G14" s="9" t="str">
        <f t="shared" ca="1" si="3"/>
        <v/>
      </c>
      <c r="H14" s="11">
        <v>5174874</v>
      </c>
      <c r="I14" s="12">
        <v>1</v>
      </c>
      <c r="J14" s="2">
        <f t="shared" si="0"/>
        <v>2</v>
      </c>
      <c r="K14" s="39">
        <f t="shared" si="5"/>
        <v>0.47307450332366929</v>
      </c>
      <c r="L14" s="38">
        <f t="shared" si="6"/>
        <v>0.47307450332366929</v>
      </c>
      <c r="M14" s="13">
        <f t="shared" ca="1" si="1"/>
        <v>0</v>
      </c>
      <c r="N14" s="60">
        <f t="shared" ca="1" si="4"/>
        <v>0</v>
      </c>
      <c r="O14" s="104">
        <f t="shared" ca="1" si="2"/>
        <v>0</v>
      </c>
    </row>
    <row r="15" spans="1:15" ht="15" thickBot="1" x14ac:dyDescent="0.35">
      <c r="A15" s="20"/>
      <c r="B15" s="9">
        <v>13</v>
      </c>
      <c r="C15" s="10" t="s">
        <v>29</v>
      </c>
      <c r="D15" s="10" t="s">
        <v>30</v>
      </c>
      <c r="E15" s="1">
        <v>7.5</v>
      </c>
      <c r="F15" s="11">
        <f ca="1">IF(
   E15="",
    "",
    IF(
        ISNA(MATCH(E15,SPECOCRUG!$A:$A,0)),
        0,
        OFFSET(
            SPECOCRUG!$A$1,
            MATCH(E15,SPECOCRUG!$A:$A,0)-1,
            1
        )
    )
)</f>
        <v>27007</v>
      </c>
      <c r="G15" s="9">
        <f t="shared" ca="1" si="3"/>
        <v>27007</v>
      </c>
      <c r="H15" s="11">
        <v>3192318</v>
      </c>
      <c r="I15" s="12">
        <v>1</v>
      </c>
      <c r="J15" s="2">
        <v>2</v>
      </c>
      <c r="K15" s="39">
        <f t="shared" si="5"/>
        <v>0.29183401418106203</v>
      </c>
      <c r="L15" s="38">
        <f t="shared" si="6"/>
        <v>0.29183401418106203</v>
      </c>
      <c r="M15" s="13">
        <f t="shared" ca="1" si="1"/>
        <v>92542.331214496808</v>
      </c>
      <c r="N15" s="60">
        <f t="shared" ca="1" si="4"/>
        <v>92542.331214496808</v>
      </c>
      <c r="O15" s="104">
        <f t="shared" ca="1" si="2"/>
        <v>0.19721436084495697</v>
      </c>
    </row>
    <row r="16" spans="1:15" ht="15" thickBot="1" x14ac:dyDescent="0.35">
      <c r="A16" s="20"/>
      <c r="B16" s="9">
        <v>14</v>
      </c>
      <c r="C16" s="10" t="s">
        <v>31</v>
      </c>
      <c r="D16" s="10" t="s">
        <v>32</v>
      </c>
      <c r="E16" s="1">
        <v>7.6</v>
      </c>
      <c r="F16" s="11">
        <f ca="1">IF(
   E16="",
    "",
    IF(
        ISNA(MATCH(E16,SPECOCRUG!$A:$A,0)),
        0,
        OFFSET(
            SPECOCRUG!$A$1,
            MATCH(E16,SPECOCRUG!$A:$A,0)-1,
            1
        )
    )
)</f>
        <v>4083828</v>
      </c>
      <c r="G16" s="9">
        <f t="shared" ca="1" si="3"/>
        <v>4083828</v>
      </c>
      <c r="H16" s="11">
        <v>10298554</v>
      </c>
      <c r="I16" s="12">
        <v>1</v>
      </c>
      <c r="J16" s="2">
        <f>I16*2</f>
        <v>2</v>
      </c>
      <c r="K16" s="39">
        <f t="shared" si="5"/>
        <v>0.94146897460730206</v>
      </c>
      <c r="L16" s="38">
        <f t="shared" si="6"/>
        <v>0.94146897460730206</v>
      </c>
      <c r="M16" s="13">
        <f t="shared" ca="1" si="1"/>
        <v>4337719.1496973261</v>
      </c>
      <c r="N16" s="60">
        <f t="shared" ca="1" si="4"/>
        <v>4337719.1496973261</v>
      </c>
      <c r="O16" s="104">
        <f t="shared" ca="1" si="2"/>
        <v>29.821510305503718</v>
      </c>
    </row>
    <row r="17" spans="1:15" ht="15" thickBot="1" x14ac:dyDescent="0.35">
      <c r="A17" s="20"/>
      <c r="B17" s="9">
        <v>15</v>
      </c>
      <c r="C17" s="10" t="s">
        <v>33</v>
      </c>
      <c r="D17" s="14" t="s">
        <v>34</v>
      </c>
      <c r="E17" s="1">
        <v>7.7</v>
      </c>
      <c r="F17" s="11">
        <f ca="1">IF(
   E16="",
    "",
    IF(
        ISNA(MATCH(E16,SPECOCRUG!$A:$A,0)),
        0,
        OFFSET(
            SPECOCRUG!$A$1,
            MATCH(E16,SPECOCRUG!$A:$A,0)-0,
            1
        )
    )
)</f>
        <v>1843336</v>
      </c>
      <c r="G17" s="9">
        <f t="shared" ca="1" si="3"/>
        <v>1843336</v>
      </c>
      <c r="H17" s="11">
        <v>52829014</v>
      </c>
      <c r="I17" s="15">
        <v>5</v>
      </c>
      <c r="J17" s="2">
        <v>6</v>
      </c>
      <c r="K17" s="39">
        <f t="shared" si="5"/>
        <v>4.8295010775391187</v>
      </c>
      <c r="L17" s="38">
        <f t="shared" si="6"/>
        <v>0.96590021550782379</v>
      </c>
      <c r="M17" s="13">
        <f t="shared" ca="1" si="1"/>
        <v>1908412.4533825296</v>
      </c>
      <c r="N17" s="60">
        <f t="shared" ca="1" si="4"/>
        <v>1908412.4533825296</v>
      </c>
      <c r="O17" s="104">
        <f t="shared" ca="1" si="2"/>
        <v>13.460670606231702</v>
      </c>
    </row>
    <row r="18" spans="1:15" ht="15" thickBot="1" x14ac:dyDescent="0.35">
      <c r="A18" s="20"/>
      <c r="B18" s="9">
        <v>16</v>
      </c>
      <c r="C18" s="10" t="s">
        <v>35</v>
      </c>
      <c r="D18" s="10" t="s">
        <v>36</v>
      </c>
      <c r="E18" s="1"/>
      <c r="F18" s="11">
        <f ca="1">IF(
   E16="",
    "",
    IF(
        ISNA(MATCH(E16,SPECOCRUG!$A:$A,0)),
        0,
        OFFSET(
            SPECOCRUG!$A$1,
            MATCH(E16,SPECOCRUG!$A:$A,0)+1,
            1
        )
    )
)</f>
        <v>180119</v>
      </c>
      <c r="G18" s="9">
        <f t="shared" ca="1" si="3"/>
        <v>180119</v>
      </c>
      <c r="H18" s="11" t="s">
        <v>78</v>
      </c>
      <c r="I18" s="12">
        <v>1</v>
      </c>
      <c r="J18" s="2">
        <f t="shared" si="0"/>
        <v>2</v>
      </c>
      <c r="K18" s="39">
        <f t="shared" si="5"/>
        <v>0</v>
      </c>
      <c r="L18" s="38">
        <f t="shared" si="6"/>
        <v>0</v>
      </c>
      <c r="M18" s="13">
        <f t="shared" ca="1" si="1"/>
        <v>0</v>
      </c>
      <c r="N18" s="60">
        <f t="shared" ca="1" si="4"/>
        <v>0</v>
      </c>
      <c r="O18" s="104">
        <f t="shared" ca="1" si="2"/>
        <v>1.3152906083990374</v>
      </c>
    </row>
    <row r="19" spans="1:15" ht="15" thickBot="1" x14ac:dyDescent="0.35">
      <c r="A19" s="20"/>
      <c r="B19" s="9">
        <v>17</v>
      </c>
      <c r="C19" s="113" t="s">
        <v>99</v>
      </c>
      <c r="D19" s="113"/>
      <c r="E19" s="114"/>
      <c r="F19" s="115" t="str">
        <f ca="1">IF(
   E19="",
    "",
    IF(
        ISNA(MATCH(E19,SPECOCRUG!$A:$A,0)),
        0,
        OFFSET(
            SPECOCRUG!$A$1,
            MATCH(E19,SPECOCRUG!$A:$A,0)-1,
            1
        )
    )
)</f>
        <v/>
      </c>
      <c r="G19" s="112" t="str">
        <f ca="1">F19</f>
        <v/>
      </c>
      <c r="H19" s="115" t="s">
        <v>78</v>
      </c>
      <c r="I19" s="116">
        <v>1</v>
      </c>
      <c r="J19" s="117">
        <f t="shared" si="0"/>
        <v>2</v>
      </c>
      <c r="K19" s="118">
        <f t="shared" si="5"/>
        <v>0</v>
      </c>
      <c r="L19" s="119">
        <f t="shared" si="6"/>
        <v>0</v>
      </c>
      <c r="M19" s="120">
        <f t="shared" ca="1" si="1"/>
        <v>0</v>
      </c>
      <c r="N19" s="121">
        <f t="shared" ca="1" si="4"/>
        <v>0</v>
      </c>
      <c r="O19" s="122">
        <f t="shared" ca="1" si="2"/>
        <v>0</v>
      </c>
    </row>
    <row r="20" spans="1:15" ht="15" thickBot="1" x14ac:dyDescent="0.35">
      <c r="A20" s="20"/>
      <c r="B20" s="9">
        <v>18</v>
      </c>
      <c r="C20" s="10" t="s">
        <v>37</v>
      </c>
      <c r="D20" s="10" t="s">
        <v>38</v>
      </c>
      <c r="E20" s="30"/>
      <c r="F20" s="11" t="str">
        <f ca="1">IF(
   E20="",
    "",
    IF(
        ISNA(MATCH(E20,SPECOCRUG!$A:$A,0)),
        0,
        OFFSET(
            SPECOCRUG!$A$1,
            MATCH(E20,SPECOCRUG!$A:$A,0)-1,
            1
        )
    )
)</f>
        <v/>
      </c>
      <c r="G20" s="9" t="str">
        <f t="shared" ca="1" si="3"/>
        <v/>
      </c>
      <c r="H20" s="11" t="s">
        <v>78</v>
      </c>
      <c r="I20" s="12">
        <v>1</v>
      </c>
      <c r="J20" s="2">
        <f t="shared" si="0"/>
        <v>2</v>
      </c>
      <c r="K20" s="39">
        <f t="shared" si="5"/>
        <v>0</v>
      </c>
      <c r="L20" s="38">
        <f t="shared" si="6"/>
        <v>0</v>
      </c>
      <c r="M20" s="13">
        <f t="shared" ca="1" si="1"/>
        <v>0</v>
      </c>
      <c r="N20" s="60">
        <f t="shared" ca="1" si="4"/>
        <v>0</v>
      </c>
      <c r="O20" s="104">
        <f t="shared" ca="1" si="2"/>
        <v>0</v>
      </c>
    </row>
    <row r="21" spans="1:15" ht="15" thickBot="1" x14ac:dyDescent="0.35">
      <c r="A21" s="49"/>
      <c r="B21" s="50">
        <v>19</v>
      </c>
      <c r="C21" s="51" t="s">
        <v>39</v>
      </c>
      <c r="D21" s="51" t="s">
        <v>40</v>
      </c>
      <c r="E21" s="52">
        <v>7.7</v>
      </c>
      <c r="F21" s="11">
        <f ca="1">IF(
   E21="",
    "",
    IF(
        ISNA(MATCH(E21,SPECOCRUG!$A:$A,0)),
        0,
        OFFSET(
            SPECOCRUG!$A$1,
            MATCH(E21,SPECOCRUG!$A:$A,0)-1,
            1
        )
    )
)</f>
        <v>1530090</v>
      </c>
      <c r="G21" s="9">
        <f ca="1">F21</f>
        <v>1530090</v>
      </c>
      <c r="H21" s="53">
        <v>21301650</v>
      </c>
      <c r="I21" s="54">
        <v>2</v>
      </c>
      <c r="J21" s="55">
        <f t="shared" si="0"/>
        <v>4</v>
      </c>
      <c r="K21" s="56">
        <f t="shared" si="5"/>
        <v>1.9473454800492997</v>
      </c>
      <c r="L21" s="57">
        <f t="shared" si="6"/>
        <v>0.97367274002464987</v>
      </c>
      <c r="M21" s="58">
        <f t="shared" ca="1" si="1"/>
        <v>1571462.2964192913</v>
      </c>
      <c r="N21" s="60">
        <f t="shared" ca="1" si="4"/>
        <v>1571462.2964192913</v>
      </c>
      <c r="O21" s="104">
        <f t="shared" ca="1" si="2"/>
        <v>11.173241062882223</v>
      </c>
    </row>
    <row r="22" spans="1:15" ht="15" thickBot="1" x14ac:dyDescent="0.35">
      <c r="A22" s="20"/>
      <c r="B22" s="47">
        <v>20</v>
      </c>
      <c r="C22" s="10" t="s">
        <v>41</v>
      </c>
      <c r="D22" s="10" t="s">
        <v>42</v>
      </c>
      <c r="E22" s="101">
        <v>8.4</v>
      </c>
      <c r="F22" s="11">
        <f ca="1">IF(
   E22="",
    "",
    IF(
        ISNA(MATCH(E22,SPECOCRUG!$A:$A,0)),
        0,
        OFFSET(
            SPECOCRUG!$A$1,
            MATCH(E22,SPECOCRUG!$A:$A,0)-1,
            1
        )
    )
)</f>
        <v>1506582</v>
      </c>
      <c r="G22">
        <f ca="1">F22</f>
        <v>1506582</v>
      </c>
      <c r="H22" s="11">
        <v>8835632</v>
      </c>
      <c r="I22" s="12">
        <v>1</v>
      </c>
      <c r="J22" s="2">
        <f t="shared" si="0"/>
        <v>2</v>
      </c>
      <c r="K22" s="39">
        <f t="shared" si="5"/>
        <v>0.80773217279313825</v>
      </c>
      <c r="L22" s="38">
        <f t="shared" si="6"/>
        <v>0.80773217279313825</v>
      </c>
      <c r="M22" s="13">
        <f t="shared" ca="1" si="1"/>
        <v>1865199.9397154613</v>
      </c>
      <c r="N22" s="60">
        <f t="shared" ca="1" si="4"/>
        <v>1865199.9397154613</v>
      </c>
      <c r="O22" s="104">
        <f t="shared" ca="1" si="2"/>
        <v>11.001577598049282</v>
      </c>
    </row>
    <row r="23" spans="1:15" ht="15" thickBot="1" x14ac:dyDescent="0.35">
      <c r="A23" s="21"/>
      <c r="B23" s="48">
        <v>21</v>
      </c>
      <c r="C23" s="16" t="s">
        <v>43</v>
      </c>
      <c r="D23" s="16" t="s">
        <v>44</v>
      </c>
      <c r="E23" s="99">
        <f>E22</f>
        <v>8.4</v>
      </c>
      <c r="F23" s="11">
        <f ca="1">IF(
   E22="",
    "",
    IF(
        ISNA(MATCH(E22,SPECOCRUG!$A:$A,0)),
        0,
        OFFSET(
            SPECOCRUG!$A$1,
            MATCH(E22,SPECOCRUG!$A:$A,0)-0,
            1
        )
    )
)</f>
        <v>47285</v>
      </c>
      <c r="G23">
        <f ca="1">F23</f>
        <v>47285</v>
      </c>
      <c r="H23" s="11">
        <v>10083898</v>
      </c>
      <c r="I23" s="17">
        <v>1</v>
      </c>
      <c r="J23" s="2">
        <f t="shared" si="0"/>
        <v>2</v>
      </c>
      <c r="K23" s="39">
        <f t="shared" si="5"/>
        <v>0.92184564067000319</v>
      </c>
      <c r="L23" s="38">
        <f t="shared" si="6"/>
        <v>0.92184564067000319</v>
      </c>
      <c r="M23" s="13">
        <f t="shared" ca="1" si="1"/>
        <v>51293.836965625793</v>
      </c>
      <c r="N23" s="60">
        <f t="shared" ca="1" si="4"/>
        <v>51293.836965625793</v>
      </c>
      <c r="O23" s="104">
        <f t="shared" ca="1" si="2"/>
        <v>0.34529125976797831</v>
      </c>
    </row>
    <row r="24" spans="1:15" ht="15" thickBot="1" x14ac:dyDescent="0.35">
      <c r="A24" s="22"/>
      <c r="B24" s="9">
        <v>22</v>
      </c>
      <c r="C24" s="10" t="s">
        <v>45</v>
      </c>
      <c r="D24" s="10" t="s">
        <v>46</v>
      </c>
      <c r="E24" s="1">
        <f>E21</f>
        <v>7.7</v>
      </c>
      <c r="F24" s="11">
        <f ca="1">IF(
   E22="",
    "",
    IF(
        ISNA(MATCH(E22,SPECOCRUG!$A:$A,0)),
        0,
        OFFSET(
            SPECOCRUG!$A$1,
            MATCH(E22,SPECOCRUG!$A:$A,0)+1,
            1
        )
    )
)</f>
        <v>152229</v>
      </c>
      <c r="G24" s="9">
        <f ca="1">F24</f>
        <v>152229</v>
      </c>
      <c r="H24" s="11">
        <v>7506559</v>
      </c>
      <c r="I24" s="12">
        <v>1</v>
      </c>
      <c r="J24" s="2">
        <f t="shared" si="0"/>
        <v>2</v>
      </c>
      <c r="K24" s="39">
        <f t="shared" si="5"/>
        <v>0.68623152381967556</v>
      </c>
      <c r="L24" s="38">
        <f t="shared" si="6"/>
        <v>0.68623152381967556</v>
      </c>
      <c r="M24" s="13">
        <f t="shared" ca="1" si="1"/>
        <v>221833.29490995806</v>
      </c>
      <c r="N24" s="60">
        <f t="shared" ca="1" si="4"/>
        <v>221833.29490995806</v>
      </c>
      <c r="O24" s="104">
        <f t="shared" ca="1" si="2"/>
        <v>1.1116282792263841</v>
      </c>
    </row>
    <row r="25" spans="1:15" ht="15" thickBot="1" x14ac:dyDescent="0.35">
      <c r="A25" s="22"/>
      <c r="B25" s="9">
        <v>23</v>
      </c>
      <c r="C25" s="10" t="s">
        <v>47</v>
      </c>
      <c r="D25" s="10" t="s">
        <v>48</v>
      </c>
      <c r="E25" s="1"/>
      <c r="F25" s="11" t="str">
        <f ca="1">IF(
   E25="",
    "",
    IF(
        ISNA(MATCH(E25,SPECOCRUG!$A:$A,0)),
        0,
        OFFSET(
            SPECOCRUG!$A$1,
            MATCH(E25,SPECOCRUG!$A:$A,0)-1,
            1
        )
    )
)</f>
        <v/>
      </c>
      <c r="G25" s="9" t="str">
        <f t="shared" ref="G25:G37" ca="1" si="7">F25</f>
        <v/>
      </c>
      <c r="H25" s="11">
        <v>20127460</v>
      </c>
      <c r="I25" s="12">
        <v>2</v>
      </c>
      <c r="J25" s="2">
        <f t="shared" si="0"/>
        <v>4</v>
      </c>
      <c r="K25" s="39">
        <f t="shared" si="5"/>
        <v>1.84000386147895</v>
      </c>
      <c r="L25" s="38">
        <f t="shared" si="6"/>
        <v>0.920001930739475</v>
      </c>
      <c r="M25" s="13">
        <f t="shared" ca="1" si="1"/>
        <v>0</v>
      </c>
      <c r="N25" s="60">
        <f t="shared" ca="1" si="4"/>
        <v>0</v>
      </c>
      <c r="O25" s="104">
        <f t="shared" ca="1" si="2"/>
        <v>0</v>
      </c>
    </row>
    <row r="26" spans="1:15" ht="15" thickBot="1" x14ac:dyDescent="0.35">
      <c r="A26" s="20"/>
      <c r="B26" s="112">
        <v>24</v>
      </c>
      <c r="C26" s="113" t="s">
        <v>49</v>
      </c>
      <c r="D26" s="113" t="s">
        <v>50</v>
      </c>
      <c r="E26" s="114"/>
      <c r="F26" s="115" t="str">
        <f ca="1">IF(
   E26="",
    "",
    IF(
        ISNA(MATCH(E26,SPECOCRUG!$A:$A,0)),
        0,
        OFFSET(
            SPECOCRUG!$A$1,
            MATCH(E26,SPECOCRUG!$A:$A,0)-1,
            1
        )
    )
)</f>
        <v/>
      </c>
      <c r="G26" s="112" t="str">
        <f t="shared" ca="1" si="7"/>
        <v/>
      </c>
      <c r="H26" s="115" t="s">
        <v>78</v>
      </c>
      <c r="I26" s="116">
        <v>1</v>
      </c>
      <c r="J26" s="117">
        <f t="shared" si="0"/>
        <v>2</v>
      </c>
      <c r="K26" s="118">
        <f t="shared" si="5"/>
        <v>0</v>
      </c>
      <c r="L26" s="119">
        <f t="shared" si="6"/>
        <v>0</v>
      </c>
      <c r="M26" s="120">
        <f t="shared" ca="1" si="1"/>
        <v>0</v>
      </c>
      <c r="N26" s="121">
        <f t="shared" ca="1" si="4"/>
        <v>0</v>
      </c>
      <c r="O26" s="122">
        <f t="shared" ca="1" si="2"/>
        <v>0</v>
      </c>
    </row>
    <row r="27" spans="1:15" ht="15" thickBot="1" x14ac:dyDescent="0.35">
      <c r="A27" s="22"/>
      <c r="B27" s="9">
        <v>25</v>
      </c>
      <c r="C27" s="10" t="s">
        <v>51</v>
      </c>
      <c r="D27" s="10" t="s">
        <v>52</v>
      </c>
      <c r="E27" s="1"/>
      <c r="F27" s="11" t="str">
        <f ca="1">IF(
   E27="",
    "",
    IF(
        ISNA(MATCH(E27,SPECOCRUG!$A:$A,0)),
        0,
        OFFSET(
            SPECOCRUG!$A$1,
            MATCH(E27,SPECOCRUG!$A:$A,0)-1,
            1
        )
    )
)</f>
        <v/>
      </c>
      <c r="G27" s="9" t="str">
        <f t="shared" ca="1" si="7"/>
        <v/>
      </c>
      <c r="H27" s="11" t="s">
        <v>78</v>
      </c>
      <c r="I27" s="12">
        <v>1</v>
      </c>
      <c r="J27" s="2">
        <f t="shared" si="0"/>
        <v>2</v>
      </c>
      <c r="K27" s="39">
        <f t="shared" si="5"/>
        <v>0</v>
      </c>
      <c r="L27" s="38">
        <f t="shared" si="6"/>
        <v>0</v>
      </c>
      <c r="M27" s="13">
        <f t="shared" ca="1" si="1"/>
        <v>0</v>
      </c>
      <c r="N27" s="60">
        <f t="shared" ca="1" si="4"/>
        <v>0</v>
      </c>
      <c r="O27" s="104">
        <f t="shared" ca="1" si="2"/>
        <v>0</v>
      </c>
    </row>
    <row r="28" spans="1:15" ht="15" thickBot="1" x14ac:dyDescent="0.35">
      <c r="A28" s="20"/>
      <c r="B28" s="9">
        <v>26</v>
      </c>
      <c r="C28" s="10" t="s">
        <v>53</v>
      </c>
      <c r="D28" s="10" t="s">
        <v>54</v>
      </c>
      <c r="E28" s="1"/>
      <c r="F28" s="11" t="str">
        <f ca="1">IF(
   E28="",
    "",
    IF(
        ISNA(MATCH(E28,SPECOCRUG!$A:$A,0)),
        0,
        OFFSET(
            SPECOCRUG!$A$1,
            MATCH(E28,SPECOCRUG!$A:$A,0)-1,
            1
        )
    )
)</f>
        <v/>
      </c>
      <c r="G28" s="9" t="str">
        <f t="shared" ca="1" si="7"/>
        <v/>
      </c>
      <c r="H28" s="11">
        <v>19575761</v>
      </c>
      <c r="I28" s="12">
        <v>2</v>
      </c>
      <c r="J28" s="2">
        <f t="shared" si="0"/>
        <v>4</v>
      </c>
      <c r="K28" s="39">
        <f t="shared" si="5"/>
        <v>1.7895688691662552</v>
      </c>
      <c r="L28" s="38">
        <f t="shared" si="6"/>
        <v>0.89478443458312762</v>
      </c>
      <c r="M28" s="13">
        <f t="shared" ca="1" si="1"/>
        <v>0</v>
      </c>
      <c r="N28" s="60">
        <f t="shared" ca="1" si="4"/>
        <v>0</v>
      </c>
      <c r="O28" s="104">
        <f t="shared" ca="1" si="2"/>
        <v>0</v>
      </c>
    </row>
    <row r="29" spans="1:15" ht="15" thickBot="1" x14ac:dyDescent="0.35">
      <c r="A29" s="20"/>
      <c r="B29" s="9">
        <v>27</v>
      </c>
      <c r="C29" s="10" t="s">
        <v>55</v>
      </c>
      <c r="D29" s="10" t="s">
        <v>56</v>
      </c>
      <c r="E29" s="1"/>
      <c r="F29" s="11" t="str">
        <f ca="1">IF(
   E29="",
    "",
    IF(
        ISNA(MATCH(E29,SPECOCRUG!$A:$A,0)),
        0,
        OFFSET(
            SPECOCRUG!$A$1,
            MATCH(E29,SPECOCRUG!$A:$A,0)-1,
            1
        )
    )
)</f>
        <v/>
      </c>
      <c r="G29" s="9" t="str">
        <f t="shared" ca="1" si="7"/>
        <v/>
      </c>
      <c r="H29" s="11">
        <v>9819618</v>
      </c>
      <c r="I29" s="12">
        <v>1</v>
      </c>
      <c r="J29" s="2">
        <f t="shared" si="0"/>
        <v>2</v>
      </c>
      <c r="K29" s="39">
        <f t="shared" si="5"/>
        <v>0.89768580030705336</v>
      </c>
      <c r="L29" s="38">
        <f t="shared" si="6"/>
        <v>0.89768580030705336</v>
      </c>
      <c r="M29" s="13">
        <f t="shared" ca="1" si="1"/>
        <v>0</v>
      </c>
      <c r="N29" s="60">
        <f t="shared" ca="1" si="4"/>
        <v>0</v>
      </c>
      <c r="O29" s="104">
        <f t="shared" ca="1" si="2"/>
        <v>0</v>
      </c>
    </row>
    <row r="30" spans="1:15" ht="15" thickBot="1" x14ac:dyDescent="0.35">
      <c r="A30" s="22"/>
      <c r="B30" s="9">
        <v>28</v>
      </c>
      <c r="C30" s="10" t="s">
        <v>57</v>
      </c>
      <c r="D30" s="10" t="s">
        <v>58</v>
      </c>
      <c r="E30" s="1"/>
      <c r="F30" s="11" t="str">
        <f ca="1">IF(
   E30="",
    "",
    IF(
        ISNA(MATCH(E30,SPECOCRUG!$A:$A,0)),
        0,
        OFFSET(
            SPECOCRUG!$A$1,
            MATCH(E30,SPECOCRUG!$A:$A,0)-1,
            1
        )
    )
)</f>
        <v/>
      </c>
      <c r="G30" s="9" t="str">
        <f t="shared" ca="1" si="7"/>
        <v/>
      </c>
      <c r="H30" s="11">
        <v>7439773</v>
      </c>
      <c r="I30" s="12">
        <v>1</v>
      </c>
      <c r="J30" s="2">
        <f t="shared" si="0"/>
        <v>2</v>
      </c>
      <c r="K30" s="39">
        <f t="shared" si="5"/>
        <v>0.68012610873537116</v>
      </c>
      <c r="L30" s="38">
        <f t="shared" si="6"/>
        <v>0.68012610873537116</v>
      </c>
      <c r="M30" s="13">
        <f t="shared" ca="1" si="1"/>
        <v>0</v>
      </c>
      <c r="N30" s="60">
        <f t="shared" ca="1" si="4"/>
        <v>0</v>
      </c>
      <c r="O30" s="104">
        <f t="shared" ca="1" si="2"/>
        <v>0</v>
      </c>
    </row>
    <row r="31" spans="1:15" ht="15" thickBot="1" x14ac:dyDescent="0.35">
      <c r="A31" s="22"/>
      <c r="B31" s="112">
        <v>29</v>
      </c>
      <c r="C31" s="113" t="s">
        <v>59</v>
      </c>
      <c r="D31" s="113" t="s">
        <v>60</v>
      </c>
      <c r="E31" s="114"/>
      <c r="F31" s="115" t="str">
        <f ca="1">IF(
   E31="",
    "",
    IF(
        ISNA(MATCH(E31,SPECOCRUG!$A:$A,0)),
        0,
        OFFSET(
            SPECOCRUG!$A$1,
            MATCH(E31,SPECOCRUG!$A:$A,0)-1,
            1
        )
    )
)</f>
        <v/>
      </c>
      <c r="G31" s="112" t="str">
        <f t="shared" ca="1" si="7"/>
        <v/>
      </c>
      <c r="H31" s="115">
        <v>11600382</v>
      </c>
      <c r="I31" s="116">
        <v>1</v>
      </c>
      <c r="J31" s="117">
        <f t="shared" si="0"/>
        <v>2</v>
      </c>
      <c r="K31" s="118">
        <f t="shared" si="5"/>
        <v>1.0604789513744359</v>
      </c>
      <c r="L31" s="119">
        <f t="shared" si="6"/>
        <v>1.0604789513744359</v>
      </c>
      <c r="M31" s="120">
        <f t="shared" ca="1" si="1"/>
        <v>0</v>
      </c>
      <c r="N31" s="121">
        <f t="shared" ca="1" si="4"/>
        <v>0</v>
      </c>
      <c r="O31" s="122">
        <f t="shared" ca="1" si="2"/>
        <v>0</v>
      </c>
    </row>
    <row r="32" spans="1:15" ht="15" thickBot="1" x14ac:dyDescent="0.35">
      <c r="A32" s="21"/>
      <c r="B32" s="18">
        <v>30</v>
      </c>
      <c r="C32" s="16" t="s">
        <v>61</v>
      </c>
      <c r="D32" s="16" t="s">
        <v>62</v>
      </c>
      <c r="E32" s="102">
        <v>9.1999999999999993</v>
      </c>
      <c r="F32" s="11">
        <f ca="1">IF(
   E32="",
    "",
    IF(
        ISNA(MATCH(E32,SPECOCRUG!$A:$A,0)),
        0,
        OFFSET(
            SPECOCRUG!$A$1,
            MATCH(E32,SPECOCRUG!$A:$A,0)-1,
            1
        )
    )
)</f>
        <v>358357</v>
      </c>
      <c r="G32" s="9">
        <f t="shared" ca="1" si="7"/>
        <v>358357</v>
      </c>
      <c r="H32" s="11">
        <v>9511152</v>
      </c>
      <c r="I32" s="17">
        <v>1</v>
      </c>
      <c r="J32" s="2">
        <f t="shared" si="0"/>
        <v>2</v>
      </c>
      <c r="K32" s="39">
        <f t="shared" si="5"/>
        <v>0.86948658236624188</v>
      </c>
      <c r="L32" s="38">
        <f t="shared" si="6"/>
        <v>0.86948658236624188</v>
      </c>
      <c r="M32" s="13">
        <f t="shared" ca="1" si="1"/>
        <v>412147.8206423365</v>
      </c>
      <c r="N32" s="60">
        <f t="shared" ca="1" si="4"/>
        <v>412147.8206423365</v>
      </c>
      <c r="O32" s="104">
        <f t="shared" ca="1" si="2"/>
        <v>2.6168455107681803</v>
      </c>
    </row>
    <row r="33" spans="1:18" ht="15" thickBot="1" x14ac:dyDescent="0.35">
      <c r="A33" s="23"/>
      <c r="B33" s="67">
        <v>31</v>
      </c>
      <c r="C33" s="68" t="s">
        <v>63</v>
      </c>
      <c r="D33" s="68" t="s">
        <v>98</v>
      </c>
      <c r="E33" s="100">
        <f>E32</f>
        <v>9.1999999999999993</v>
      </c>
      <c r="F33" s="11">
        <f ca="1">IF(
   E32="",
    "",
    IF(
        ISNA(MATCH(E32,SPECOCRUG!$A:$A,0)),
        0,
        OFFSET(
            SPECOCRUG!$A$1,
            MATCH(E32,SPECOCRUG!$A:$A,0)-0,
            1
        )
    )
)</f>
        <v>188950</v>
      </c>
      <c r="G33" s="9">
        <f t="shared" ca="1" si="7"/>
        <v>188950</v>
      </c>
      <c r="H33" s="11">
        <v>9512456</v>
      </c>
      <c r="I33" s="19">
        <v>1</v>
      </c>
      <c r="J33" s="2">
        <f t="shared" si="0"/>
        <v>2</v>
      </c>
      <c r="K33" s="39">
        <f t="shared" si="5"/>
        <v>0.86960579090201184</v>
      </c>
      <c r="L33" s="38">
        <f t="shared" si="6"/>
        <v>0.86960579090201184</v>
      </c>
      <c r="M33" s="13">
        <f t="shared" ca="1" si="1"/>
        <v>217282.3617055364</v>
      </c>
      <c r="N33" s="60">
        <f t="shared" ca="1" si="4"/>
        <v>217282.3617055364</v>
      </c>
      <c r="O33" s="104">
        <f t="shared" ca="1" si="2"/>
        <v>1.3797775940183885</v>
      </c>
    </row>
    <row r="34" spans="1:18" ht="15" thickBot="1" x14ac:dyDescent="0.35">
      <c r="A34" s="20"/>
      <c r="B34" s="9">
        <v>32</v>
      </c>
      <c r="C34" s="10" t="s">
        <v>87</v>
      </c>
      <c r="D34" s="10" t="s">
        <v>83</v>
      </c>
      <c r="E34" s="69">
        <f>E32</f>
        <v>9.1999999999999993</v>
      </c>
      <c r="F34" s="11">
        <f ca="1">IF(
   E32="",
    "",
    IF(
        ISNA(MATCH(E32,SPECOCRUG!$A:$A,0)),
        0,
        OFFSET(
            SPECOCRUG!$A$1,
            MATCH(E32,SPECOCRUG!$A:$A,0)+1,
            1
        )
    )
)</f>
        <v>134592</v>
      </c>
      <c r="G34" s="9">
        <f t="shared" ca="1" si="7"/>
        <v>134592</v>
      </c>
      <c r="H34" s="11">
        <v>18782933</v>
      </c>
      <c r="I34" s="12">
        <v>2</v>
      </c>
      <c r="J34" s="2">
        <f t="shared" si="0"/>
        <v>4</v>
      </c>
      <c r="K34" s="39">
        <f t="shared" si="5"/>
        <v>1.7170904450884712</v>
      </c>
      <c r="L34" s="38">
        <f t="shared" si="6"/>
        <v>0.8585452225442356</v>
      </c>
      <c r="M34" s="13">
        <f t="shared" ca="1" si="1"/>
        <v>156767.51377306195</v>
      </c>
      <c r="N34" s="60">
        <f t="shared" ca="1" si="4"/>
        <v>156767.51377306195</v>
      </c>
      <c r="O34" s="104">
        <f t="shared" ca="1" si="2"/>
        <v>0.98283686654735614</v>
      </c>
    </row>
    <row r="35" spans="1:18" ht="15" thickBot="1" x14ac:dyDescent="0.35">
      <c r="A35" s="20"/>
      <c r="B35" s="9">
        <v>33</v>
      </c>
      <c r="C35" s="10" t="s">
        <v>64</v>
      </c>
      <c r="D35" s="10" t="s">
        <v>65</v>
      </c>
      <c r="E35" s="13"/>
      <c r="F35" s="11" t="str">
        <f ca="1">IF(
   E35="",
    "",
    IF(
        ISNA(MATCH(E35,SPECOCRUG!$A:$A,0)),
        0,
        OFFSET(
            SPECOCRUG!$A$1,
            MATCH(E35,SPECOCRUG!$A:$A,0)-1,
            1
        )
    )
)</f>
        <v/>
      </c>
      <c r="G35" s="9" t="str">
        <f t="shared" ca="1" si="7"/>
        <v/>
      </c>
      <c r="H35" s="11">
        <v>9047658</v>
      </c>
      <c r="I35" s="12">
        <v>1</v>
      </c>
      <c r="J35" s="2">
        <f t="shared" si="0"/>
        <v>2</v>
      </c>
      <c r="K35" s="39">
        <f t="shared" si="5"/>
        <v>0.82711507847194399</v>
      </c>
      <c r="L35" s="38">
        <f t="shared" si="6"/>
        <v>0.82711507847194399</v>
      </c>
      <c r="M35" s="13">
        <f t="shared" ca="1" si="1"/>
        <v>0</v>
      </c>
      <c r="N35" s="60">
        <f t="shared" ca="1" si="4"/>
        <v>0</v>
      </c>
      <c r="O35" s="104">
        <f t="shared" ca="1" si="2"/>
        <v>0</v>
      </c>
    </row>
    <row r="36" spans="1:18" ht="15" thickBot="1" x14ac:dyDescent="0.35">
      <c r="A36" s="20"/>
      <c r="B36" s="9">
        <v>34</v>
      </c>
      <c r="C36" s="10" t="s">
        <v>66</v>
      </c>
      <c r="D36" s="10" t="s">
        <v>67</v>
      </c>
      <c r="E36" s="13">
        <v>10.3</v>
      </c>
      <c r="F36" s="11">
        <f ca="1">IF(
   E36="",
    "",
    IF(
        ISNA(MATCH(E36,SPECOCRUG!$A:$A,0)),
        0,
        OFFSET(
            SPECOCRUG!$A$1,
            MATCH(E36,SPECOCRUG!$A:$A,0)-1,
            1
        )
    )
)</f>
        <v>328122</v>
      </c>
      <c r="G36" s="9">
        <f t="shared" ca="1" si="7"/>
        <v>328122</v>
      </c>
      <c r="H36" s="11">
        <v>9593474</v>
      </c>
      <c r="I36" s="12">
        <v>1</v>
      </c>
      <c r="J36" s="2">
        <f t="shared" si="0"/>
        <v>2</v>
      </c>
      <c r="K36" s="39">
        <f t="shared" si="5"/>
        <v>0.87701226110984243</v>
      </c>
      <c r="L36" s="38">
        <f t="shared" si="6"/>
        <v>0.87701226110984243</v>
      </c>
      <c r="M36" s="13">
        <f t="shared" ca="1" si="1"/>
        <v>374136.16040529218</v>
      </c>
      <c r="N36" s="60">
        <f t="shared" ca="1" si="4"/>
        <v>374136.16040529218</v>
      </c>
      <c r="O36" s="104">
        <f t="shared" ca="1" si="2"/>
        <v>2.3960591886980769</v>
      </c>
    </row>
    <row r="37" spans="1:18" ht="15" thickBot="1" x14ac:dyDescent="0.35">
      <c r="A37" s="20"/>
      <c r="B37" s="66">
        <v>35</v>
      </c>
      <c r="C37" s="70" t="s">
        <v>68</v>
      </c>
      <c r="D37" s="70" t="s">
        <v>69</v>
      </c>
      <c r="E37" s="13">
        <v>10.4</v>
      </c>
      <c r="F37" s="11">
        <f ca="1">IF(
   E37="",
    "",
    IF(
        ISNA(MATCH(E37,SPECOCRUG!$A:$A,0)),
        0,
        OFFSET(
            SPECOCRUG!$A$1,
            MATCH(E37,SPECOCRUG!$A:$A,0)-1,
            1
        )
    )
)</f>
        <v>258608</v>
      </c>
      <c r="G37" s="9">
        <f t="shared" ca="1" si="7"/>
        <v>258608</v>
      </c>
      <c r="H37" s="33">
        <v>18413624</v>
      </c>
      <c r="I37" s="12">
        <v>2</v>
      </c>
      <c r="J37" s="2">
        <f t="shared" si="0"/>
        <v>4</v>
      </c>
      <c r="K37" s="39">
        <f t="shared" si="5"/>
        <v>1.6833291067934788</v>
      </c>
      <c r="L37" s="38">
        <f t="shared" si="6"/>
        <v>0.8416645533967394</v>
      </c>
      <c r="M37" s="13">
        <f t="shared" ca="1" si="1"/>
        <v>307257.80117069837</v>
      </c>
      <c r="N37" s="60">
        <f t="shared" ca="1" si="4"/>
        <v>307257.80117069837</v>
      </c>
      <c r="O37" s="104">
        <f t="shared" ca="1" si="2"/>
        <v>1.8884441600100947</v>
      </c>
    </row>
    <row r="38" spans="1:18" ht="15" thickBot="1" x14ac:dyDescent="0.35">
      <c r="A38" s="26"/>
      <c r="B38" s="1"/>
      <c r="C38" s="10"/>
      <c r="D38" s="10"/>
      <c r="F38" s="46"/>
      <c r="G38" s="1">
        <f ca="1">SUM(G3:G37)</f>
        <v>13694236</v>
      </c>
      <c r="I38" s="27"/>
      <c r="J38" s="32"/>
      <c r="K38" s="40"/>
      <c r="L38" s="41"/>
      <c r="M38" s="34"/>
      <c r="N38" s="64">
        <f ca="1">SUM(N4:N37)</f>
        <v>14481383.528948262</v>
      </c>
      <c r="O38" s="106">
        <f ca="1">SUM(O3:O37)</f>
        <v>100.00000000000001</v>
      </c>
      <c r="P38" s="95" t="s">
        <v>70</v>
      </c>
    </row>
    <row r="39" spans="1:18" ht="16.2" thickBot="1" x14ac:dyDescent="0.35">
      <c r="A39" s="1"/>
      <c r="B39" s="1"/>
      <c r="C39" s="10"/>
      <c r="D39" s="5" t="s">
        <v>84</v>
      </c>
      <c r="E39" s="81" t="s">
        <v>85</v>
      </c>
      <c r="G39" s="67">
        <f ca="1">G32+G23+G34</f>
        <v>540234</v>
      </c>
      <c r="I39" s="1"/>
      <c r="J39" s="28"/>
      <c r="K39" s="42"/>
      <c r="L39" s="43"/>
      <c r="M39" s="35"/>
      <c r="N39" s="98">
        <f ca="1">N23+N32</f>
        <v>463441.65760796232</v>
      </c>
      <c r="O39" s="107"/>
      <c r="P39" s="90">
        <f ca="1">N39*100/OBSUMM</f>
        <v>3.3842096602392595</v>
      </c>
    </row>
    <row r="40" spans="1:18" ht="22.8" x14ac:dyDescent="0.4">
      <c r="A40" s="82" t="s">
        <v>82</v>
      </c>
      <c r="B40" s="86" t="s">
        <v>62</v>
      </c>
      <c r="C40" s="103">
        <f ca="1">O32</f>
        <v>2.6168455107681803</v>
      </c>
      <c r="D40" s="88">
        <v>2.02</v>
      </c>
      <c r="E40" s="83">
        <v>6.2869999999999999</v>
      </c>
      <c r="F40" s="1"/>
      <c r="G40" s="134" t="s">
        <v>70</v>
      </c>
      <c r="H40" s="135"/>
      <c r="I40" s="135"/>
      <c r="J40" s="135"/>
      <c r="K40" s="135"/>
      <c r="L40" s="135"/>
      <c r="M40" s="135"/>
      <c r="N40" s="135"/>
      <c r="O40" s="136"/>
      <c r="P40" s="29"/>
      <c r="Q40" s="62"/>
      <c r="R40" s="96"/>
    </row>
    <row r="41" spans="1:18" ht="23.4" thickBot="1" x14ac:dyDescent="0.45">
      <c r="A41" s="84" t="s">
        <v>101</v>
      </c>
      <c r="B41" s="87" t="s">
        <v>83</v>
      </c>
      <c r="C41" s="77">
        <f ca="1">O23</f>
        <v>0.34529125976797831</v>
      </c>
      <c r="D41" s="89">
        <v>0.3</v>
      </c>
      <c r="E41" s="85">
        <v>2.66</v>
      </c>
      <c r="G41" s="137">
        <f ca="1">G39*100/G38</f>
        <v>3.9449736370835145</v>
      </c>
      <c r="H41" s="138"/>
      <c r="I41" s="138"/>
      <c r="J41" s="138"/>
      <c r="K41" s="138"/>
      <c r="L41" s="138"/>
      <c r="M41" s="138"/>
      <c r="N41" s="138"/>
      <c r="O41" s="139"/>
      <c r="P41" s="31"/>
      <c r="Q41" s="63"/>
      <c r="R41" s="97"/>
    </row>
    <row r="42" spans="1:18" ht="23.4" thickBot="1" x14ac:dyDescent="0.45">
      <c r="A42" t="s">
        <v>100</v>
      </c>
      <c r="C42" s="111">
        <f ca="1">O19</f>
        <v>0</v>
      </c>
      <c r="G42" s="140"/>
      <c r="H42" s="141"/>
      <c r="I42" s="141"/>
      <c r="J42" s="141"/>
      <c r="K42" s="141"/>
      <c r="L42" s="141"/>
      <c r="M42" s="141"/>
      <c r="N42" s="141"/>
      <c r="O42" s="141"/>
      <c r="Q42" s="80"/>
    </row>
    <row r="43" spans="1:18" ht="15.6" x14ac:dyDescent="0.3">
      <c r="E43" s="91" t="s">
        <v>88</v>
      </c>
      <c r="G43" s="93" t="s">
        <v>79</v>
      </c>
      <c r="O43" s="94" t="s">
        <v>81</v>
      </c>
    </row>
    <row r="44" spans="1:18" ht="15" thickBot="1" x14ac:dyDescent="0.35">
      <c r="B44" t="s">
        <v>97</v>
      </c>
      <c r="E44" s="66">
        <f ca="1">F33/F32</f>
        <v>0.527267501402233</v>
      </c>
      <c r="G44" s="66">
        <f ca="1">G22/G23</f>
        <v>31.861732050333085</v>
      </c>
      <c r="O44" s="108">
        <f ca="1">G22/G32</f>
        <v>4.2041372151234659</v>
      </c>
    </row>
    <row r="45" spans="1:18" ht="15" thickBot="1" x14ac:dyDescent="0.35"/>
    <row r="46" spans="1:18" ht="15.6" x14ac:dyDescent="0.3">
      <c r="B46" s="71"/>
      <c r="E46" s="92" t="s">
        <v>89</v>
      </c>
      <c r="G46" s="93" t="s">
        <v>86</v>
      </c>
      <c r="O46" s="94" t="s">
        <v>80</v>
      </c>
      <c r="P46" s="72" t="s">
        <v>79</v>
      </c>
    </row>
    <row r="47" spans="1:18" ht="15" thickBot="1" x14ac:dyDescent="0.35">
      <c r="E47" s="66">
        <f ca="1">F34/F32</f>
        <v>0.37558077559528624</v>
      </c>
      <c r="G47" s="66">
        <f ca="1">G23/G22</f>
        <v>3.1385613262338193E-2</v>
      </c>
      <c r="H47" s="75"/>
      <c r="I47" s="76"/>
      <c r="J47" s="77"/>
      <c r="K47" s="74"/>
      <c r="L47" s="78"/>
      <c r="M47" s="73"/>
      <c r="N47" s="74">
        <v>1.7000000000000001E-2</v>
      </c>
      <c r="O47" s="110">
        <f ca="1">G32/G22</f>
        <v>0.23786093289313159</v>
      </c>
      <c r="P47" s="79" t="e">
        <f>E25/E26</f>
        <v>#DIV/0!</v>
      </c>
    </row>
    <row r="48" spans="1:18" x14ac:dyDescent="0.3">
      <c r="A48" s="10" t="s">
        <v>97</v>
      </c>
      <c r="B48" s="10"/>
      <c r="C48" s="1"/>
      <c r="D48" s="36"/>
      <c r="E48" s="80"/>
      <c r="H48" s="42"/>
      <c r="I48" s="44"/>
      <c r="J48" s="36"/>
      <c r="K48"/>
      <c r="L48" s="24"/>
      <c r="M48" s="61"/>
      <c r="N48"/>
      <c r="O48" s="111"/>
    </row>
    <row r="49" spans="1:15" x14ac:dyDescent="0.3">
      <c r="A49" s="10"/>
      <c r="B49" s="10"/>
      <c r="D49" s="36"/>
      <c r="E49" s="80"/>
      <c r="H49" s="42"/>
      <c r="I49" s="44"/>
      <c r="J49" s="36"/>
      <c r="K49"/>
      <c r="L49" s="24"/>
      <c r="M49" s="61"/>
      <c r="N49"/>
      <c r="O49" s="111"/>
    </row>
    <row r="50" spans="1:15" x14ac:dyDescent="0.3">
      <c r="A50" s="10"/>
      <c r="B50" s="10"/>
      <c r="D50" s="36"/>
      <c r="E50" s="80"/>
      <c r="H50" s="42"/>
      <c r="I50" s="44"/>
      <c r="J50" s="36"/>
      <c r="K50"/>
      <c r="L50" s="24"/>
      <c r="M50" s="61"/>
      <c r="N50"/>
      <c r="O50" s="111"/>
    </row>
    <row r="51" spans="1:15" x14ac:dyDescent="0.3">
      <c r="D51" s="36"/>
      <c r="E51" s="80"/>
      <c r="H51" s="42"/>
      <c r="I51" s="44"/>
      <c r="J51" s="36"/>
      <c r="K51"/>
      <c r="L51" s="24"/>
      <c r="M51" s="61"/>
      <c r="N51"/>
      <c r="O51" s="111"/>
    </row>
    <row r="52" spans="1:15" x14ac:dyDescent="0.3">
      <c r="H52" s="42"/>
      <c r="I52" s="44"/>
      <c r="J52" s="36"/>
      <c r="K52"/>
      <c r="L52" s="24"/>
      <c r="M52" s="61"/>
      <c r="N52"/>
      <c r="O52" s="111"/>
    </row>
    <row r="53" spans="1:15" x14ac:dyDescent="0.3">
      <c r="H53" s="42"/>
      <c r="I53" s="44"/>
      <c r="J53" s="36"/>
      <c r="K53"/>
      <c r="L53" s="24"/>
      <c r="N53"/>
      <c r="O53" s="111"/>
    </row>
    <row r="54" spans="1:15" x14ac:dyDescent="0.3">
      <c r="A54" s="10"/>
      <c r="B54" s="10"/>
      <c r="D54" s="36"/>
      <c r="E54" s="80"/>
      <c r="H54" s="42"/>
      <c r="I54" s="44"/>
      <c r="J54" s="36"/>
      <c r="K54"/>
      <c r="L54" s="24"/>
      <c r="N54"/>
      <c r="O54" s="111"/>
    </row>
    <row r="55" spans="1:15" x14ac:dyDescent="0.3">
      <c r="H55" s="42"/>
      <c r="I55" s="44"/>
      <c r="J55" s="36"/>
      <c r="K55"/>
      <c r="L55" s="24"/>
      <c r="N55"/>
      <c r="O55" s="111"/>
    </row>
    <row r="56" spans="1:15" x14ac:dyDescent="0.3">
      <c r="H56" s="42"/>
      <c r="I56" s="44"/>
      <c r="J56" s="36"/>
      <c r="K56"/>
      <c r="L56" s="24"/>
      <c r="M56" s="61"/>
      <c r="N56"/>
      <c r="O56" s="111"/>
    </row>
    <row r="57" spans="1:15" x14ac:dyDescent="0.3">
      <c r="E57" s="80"/>
      <c r="H57" s="42"/>
      <c r="I57" s="44"/>
      <c r="J57" s="36"/>
      <c r="K57"/>
      <c r="L57" s="24"/>
      <c r="M57" s="61"/>
      <c r="N57"/>
      <c r="O57" s="111"/>
    </row>
    <row r="58" spans="1:15" x14ac:dyDescent="0.3">
      <c r="D58" s="36"/>
      <c r="E58" s="80"/>
      <c r="H58" s="42"/>
      <c r="I58" s="44"/>
      <c r="J58" s="36"/>
      <c r="K58"/>
      <c r="L58" s="24"/>
      <c r="M58" s="61"/>
      <c r="N58"/>
      <c r="O58" s="111"/>
    </row>
    <row r="59" spans="1:15" x14ac:dyDescent="0.3">
      <c r="H59" s="42"/>
      <c r="I59" s="44"/>
      <c r="J59" s="36"/>
      <c r="K59"/>
      <c r="L59" s="24"/>
      <c r="M59" s="61"/>
      <c r="N59"/>
      <c r="O59" s="111"/>
    </row>
  </sheetData>
  <mergeCells count="3">
    <mergeCell ref="G40:O40"/>
    <mergeCell ref="G41:O41"/>
    <mergeCell ref="G42:O4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6DA7404-0A80-4C58-B91E-E6584FEA859B}">
            <x14:iconSet iconSet="3Triangles">
              <x14:cfvo type="percent">
                <xm:f>0</xm:f>
              </x14:cfvo>
              <x14:cfvo type="num">
                <xm:f>$D$40</xm:f>
              </x14:cfvo>
              <x14:cfvo type="num">
                <xm:f>$E$40</xm:f>
              </x14:cfvo>
            </x14:iconSet>
          </x14:cfRule>
          <xm:sqref>C40</xm:sqref>
        </x14:conditionalFormatting>
        <x14:conditionalFormatting xmlns:xm="http://schemas.microsoft.com/office/excel/2006/main">
          <x14:cfRule type="iconSet" priority="1" id="{D54136B8-2B89-4ACF-904B-817729EB42AD}">
            <x14:iconSet iconSet="3Triangles">
              <x14:cfvo type="percent">
                <xm:f>0</xm:f>
              </x14:cfvo>
              <x14:cfvo type="num">
                <xm:f>$D$41</xm:f>
              </x14:cfvo>
              <x14:cfvo type="num">
                <xm:f>$E$41</xm:f>
              </x14:cfvo>
            </x14:iconSet>
          </x14:cfRule>
          <xm:sqref>C41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2:B326"/>
  <sheetViews>
    <sheetView workbookViewId="0">
      <selection activeCell="K10" sqref="K5:K10"/>
    </sheetView>
  </sheetViews>
  <sheetFormatPr defaultRowHeight="14.4" x14ac:dyDescent="0.3"/>
  <cols>
    <col min="1" max="1" width="10.33203125" bestFit="1" customWidth="1"/>
    <col min="2" max="2" width="14.109375" style="24" customWidth="1"/>
  </cols>
  <sheetData>
    <row r="2" spans="1:2" x14ac:dyDescent="0.3">
      <c r="A2">
        <f>ROUND('1'!B5, 1)</f>
        <v>0.5</v>
      </c>
      <c r="B2" s="24">
        <f>'1'!E5</f>
        <v>139674705</v>
      </c>
    </row>
    <row r="3" spans="1:2" x14ac:dyDescent="0.3">
      <c r="A3">
        <f>ROUND('1'!B6, 1)</f>
        <v>0.5</v>
      </c>
      <c r="B3" s="24">
        <f>'1'!E6</f>
        <v>178773351</v>
      </c>
    </row>
    <row r="4" spans="1:2" x14ac:dyDescent="0.3">
      <c r="A4">
        <f>ROUND('1'!B7, 1)</f>
        <v>0.5</v>
      </c>
      <c r="B4" s="24">
        <f>'1'!E7</f>
        <v>18686613498</v>
      </c>
    </row>
    <row r="5" spans="1:2" x14ac:dyDescent="0.3">
      <c r="A5">
        <f>ROUND('1'!B8, 1)</f>
        <v>0.6</v>
      </c>
      <c r="B5" s="24">
        <f>'1'!E8</f>
        <v>6326497</v>
      </c>
    </row>
    <row r="6" spans="1:2" x14ac:dyDescent="0.3">
      <c r="A6">
        <f>ROUND('1'!B9, 1)</f>
        <v>0.7</v>
      </c>
      <c r="B6" s="24">
        <f>'1'!E9</f>
        <v>2197053</v>
      </c>
    </row>
    <row r="7" spans="1:2" x14ac:dyDescent="0.3">
      <c r="A7">
        <f>ROUND('1'!B10, 1)</f>
        <v>0.7</v>
      </c>
      <c r="B7" s="24">
        <f>'1'!E10</f>
        <v>7041375</v>
      </c>
    </row>
    <row r="8" spans="1:2" x14ac:dyDescent="0.3">
      <c r="A8">
        <f>ROUND('1'!B11, 1)</f>
        <v>0.9</v>
      </c>
      <c r="B8" s="24">
        <f>'1'!E11</f>
        <v>1147190</v>
      </c>
    </row>
    <row r="9" spans="1:2" x14ac:dyDescent="0.3">
      <c r="A9">
        <f>ROUND('1'!B12, 1)</f>
        <v>5.6</v>
      </c>
      <c r="B9" s="24">
        <f>'1'!E12</f>
        <v>78841</v>
      </c>
    </row>
    <row r="10" spans="1:2" x14ac:dyDescent="0.3">
      <c r="A10">
        <f>ROUND('1'!B13, 1)</f>
        <v>6.6</v>
      </c>
      <c r="B10" s="24">
        <f>'1'!E13</f>
        <v>105127</v>
      </c>
    </row>
    <row r="11" spans="1:2" x14ac:dyDescent="0.3">
      <c r="A11">
        <f>ROUND('1'!B14, 1)</f>
        <v>6.7</v>
      </c>
      <c r="B11" s="24">
        <f>'1'!E14</f>
        <v>2950004</v>
      </c>
    </row>
    <row r="12" spans="1:2" x14ac:dyDescent="0.3">
      <c r="A12">
        <f>ROUND('1'!B15, 1)</f>
        <v>7</v>
      </c>
      <c r="B12" s="24">
        <f>'1'!E15</f>
        <v>183235</v>
      </c>
    </row>
    <row r="13" spans="1:2" x14ac:dyDescent="0.3">
      <c r="A13">
        <f>ROUND('1'!B16, 1)</f>
        <v>7.2</v>
      </c>
      <c r="B13" s="24">
        <f>'1'!E16</f>
        <v>48521</v>
      </c>
    </row>
    <row r="14" spans="1:2" x14ac:dyDescent="0.3">
      <c r="A14">
        <f>ROUND('1'!B17, 1)</f>
        <v>7.5</v>
      </c>
      <c r="B14" s="24">
        <f>'1'!E17</f>
        <v>27007</v>
      </c>
    </row>
    <row r="15" spans="1:2" x14ac:dyDescent="0.3">
      <c r="A15">
        <f>ROUND('1'!B18, 1)</f>
        <v>7.6</v>
      </c>
      <c r="B15" s="24">
        <f>'1'!E18</f>
        <v>4083828</v>
      </c>
    </row>
    <row r="16" spans="1:2" x14ac:dyDescent="0.3">
      <c r="A16">
        <f>ROUND('1'!B19, 1)</f>
        <v>7.6</v>
      </c>
      <c r="B16" s="24">
        <f>'1'!E19</f>
        <v>1843336</v>
      </c>
    </row>
    <row r="17" spans="1:2" x14ac:dyDescent="0.3">
      <c r="A17">
        <f>ROUND('1'!B20, 1)</f>
        <v>7.6</v>
      </c>
      <c r="B17" s="24">
        <f>'1'!E20</f>
        <v>180119</v>
      </c>
    </row>
    <row r="18" spans="1:2" x14ac:dyDescent="0.3">
      <c r="A18">
        <f>ROUND('1'!B21, 1)</f>
        <v>7.7</v>
      </c>
      <c r="B18" s="24">
        <f>'1'!E21</f>
        <v>1530090</v>
      </c>
    </row>
    <row r="19" spans="1:2" x14ac:dyDescent="0.3">
      <c r="A19">
        <f>ROUND('1'!B22, 1)</f>
        <v>7.8</v>
      </c>
      <c r="B19" s="24">
        <f>'1'!E22</f>
        <v>60196</v>
      </c>
    </row>
    <row r="20" spans="1:2" x14ac:dyDescent="0.3">
      <c r="A20">
        <f>ROUND('1'!B23, 1)</f>
        <v>8</v>
      </c>
      <c r="B20" s="24">
        <f>'1'!E23</f>
        <v>241235</v>
      </c>
    </row>
    <row r="21" spans="1:2" x14ac:dyDescent="0.3">
      <c r="A21">
        <f>ROUND('1'!B24, 1)</f>
        <v>8.4</v>
      </c>
      <c r="B21" s="24">
        <f>'1'!E24</f>
        <v>1506582</v>
      </c>
    </row>
    <row r="22" spans="1:2" x14ac:dyDescent="0.3">
      <c r="A22">
        <f>ROUND('1'!B25, 1)</f>
        <v>8.4</v>
      </c>
      <c r="B22" s="24">
        <f>'1'!E25</f>
        <v>47285</v>
      </c>
    </row>
    <row r="23" spans="1:2" x14ac:dyDescent="0.3">
      <c r="A23">
        <f>ROUND('1'!B26, 1)</f>
        <v>8.5</v>
      </c>
      <c r="B23" s="24">
        <f>'1'!E26</f>
        <v>152229</v>
      </c>
    </row>
    <row r="24" spans="1:2" x14ac:dyDescent="0.3">
      <c r="A24">
        <f>ROUND('1'!B27, 1)</f>
        <v>8.6</v>
      </c>
      <c r="B24" s="24">
        <f>'1'!E27</f>
        <v>10531</v>
      </c>
    </row>
    <row r="25" spans="1:2" x14ac:dyDescent="0.3">
      <c r="A25">
        <f>ROUND('1'!B28, 1)</f>
        <v>8.6999999999999993</v>
      </c>
      <c r="B25" s="24">
        <f>'1'!E28</f>
        <v>43306</v>
      </c>
    </row>
    <row r="26" spans="1:2" x14ac:dyDescent="0.3">
      <c r="A26">
        <f>ROUND('1'!B29, 1)</f>
        <v>9.1999999999999993</v>
      </c>
      <c r="B26" s="24">
        <f>'1'!E29</f>
        <v>358357</v>
      </c>
    </row>
    <row r="27" spans="1:2" x14ac:dyDescent="0.3">
      <c r="A27">
        <f>ROUND('1'!B30, 1)</f>
        <v>9.3000000000000007</v>
      </c>
      <c r="B27" s="24">
        <f>'1'!E30</f>
        <v>188950</v>
      </c>
    </row>
    <row r="28" spans="1:2" x14ac:dyDescent="0.3">
      <c r="A28">
        <f>ROUND('1'!B31, 1)</f>
        <v>9.3000000000000007</v>
      </c>
      <c r="B28" s="24">
        <f>'1'!E31</f>
        <v>134592</v>
      </c>
    </row>
    <row r="29" spans="1:2" x14ac:dyDescent="0.3">
      <c r="A29">
        <f>ROUND('1'!B32, 1)</f>
        <v>9.6</v>
      </c>
      <c r="B29" s="24">
        <f>'1'!E32</f>
        <v>143994</v>
      </c>
    </row>
    <row r="30" spans="1:2" x14ac:dyDescent="0.3">
      <c r="A30">
        <f>ROUND('1'!B33, 1)</f>
        <v>10</v>
      </c>
      <c r="B30" s="24">
        <f>'1'!E33</f>
        <v>44800</v>
      </c>
    </row>
    <row r="31" spans="1:2" x14ac:dyDescent="0.3">
      <c r="A31">
        <f>ROUND('1'!B34, 1)</f>
        <v>10.3</v>
      </c>
      <c r="B31" s="24">
        <f>'1'!E34</f>
        <v>328122</v>
      </c>
    </row>
    <row r="32" spans="1:2" x14ac:dyDescent="0.3">
      <c r="A32">
        <f>ROUND('1'!B35, 1)</f>
        <v>10.4</v>
      </c>
      <c r="B32" s="24">
        <f>'1'!E35</f>
        <v>258608</v>
      </c>
    </row>
    <row r="33" spans="1:2" x14ac:dyDescent="0.3">
      <c r="A33">
        <f>ROUND('1'!B36, 1)</f>
        <v>11.1</v>
      </c>
      <c r="B33" s="24">
        <f>'1'!E36</f>
        <v>407562</v>
      </c>
    </row>
    <row r="34" spans="1:2" x14ac:dyDescent="0.3">
      <c r="A34">
        <f>ROUND('1'!B37, 1)</f>
        <v>11.7</v>
      </c>
      <c r="B34" s="24">
        <f>'1'!E37</f>
        <v>46964</v>
      </c>
    </row>
    <row r="35" spans="1:2" x14ac:dyDescent="0.3">
      <c r="A35">
        <f>ROUND('1'!B38, 1)</f>
        <v>11.9</v>
      </c>
      <c r="B35" s="24">
        <f>'1'!E38</f>
        <v>6972658</v>
      </c>
    </row>
    <row r="36" spans="1:2" x14ac:dyDescent="0.3">
      <c r="A36">
        <f>ROUND('1'!B39, 1)</f>
        <v>12.3</v>
      </c>
      <c r="B36" s="24">
        <f>'1'!E39</f>
        <v>77100</v>
      </c>
    </row>
    <row r="37" spans="1:2" x14ac:dyDescent="0.3">
      <c r="A37">
        <f>ROUND('1'!B40, 1)</f>
        <v>12.3</v>
      </c>
      <c r="B37" s="24">
        <f>'1'!E40</f>
        <v>67613</v>
      </c>
    </row>
    <row r="38" spans="1:2" x14ac:dyDescent="0.3">
      <c r="A38">
        <f>ROUND('1'!B41, 1)</f>
        <v>12.5</v>
      </c>
      <c r="B38" s="24">
        <f>'1'!E41</f>
        <v>279509</v>
      </c>
    </row>
    <row r="39" spans="1:2" x14ac:dyDescent="0.3">
      <c r="A39">
        <f>ROUND('1'!B42, 1)</f>
        <v>0</v>
      </c>
      <c r="B39" s="24">
        <f>'1'!E42</f>
        <v>0</v>
      </c>
    </row>
    <row r="40" spans="1:2" x14ac:dyDescent="0.3">
      <c r="A40">
        <f>ROUND('1'!B43, 1)</f>
        <v>0</v>
      </c>
      <c r="B40" s="24">
        <f>'1'!E43</f>
        <v>0</v>
      </c>
    </row>
    <row r="41" spans="1:2" x14ac:dyDescent="0.3">
      <c r="A41">
        <f>ROUND('1'!B44, 1)</f>
        <v>0</v>
      </c>
      <c r="B41" s="24">
        <f>'1'!E44</f>
        <v>0</v>
      </c>
    </row>
    <row r="42" spans="1:2" x14ac:dyDescent="0.3">
      <c r="A42">
        <f>ROUND('1'!B45, 1)</f>
        <v>0</v>
      </c>
      <c r="B42" s="24">
        <f>'1'!E45</f>
        <v>0</v>
      </c>
    </row>
    <row r="43" spans="1:2" x14ac:dyDescent="0.3">
      <c r="A43">
        <f>ROUND('1'!B46, 1)</f>
        <v>0</v>
      </c>
      <c r="B43" s="24">
        <f>'1'!E46</f>
        <v>0</v>
      </c>
    </row>
    <row r="44" spans="1:2" x14ac:dyDescent="0.3">
      <c r="A44">
        <f>ROUND('1'!B47, 1)</f>
        <v>0</v>
      </c>
      <c r="B44" s="24">
        <f>'1'!E47</f>
        <v>0</v>
      </c>
    </row>
    <row r="45" spans="1:2" x14ac:dyDescent="0.3">
      <c r="A45">
        <f>ROUND('1'!B48, 1)</f>
        <v>0</v>
      </c>
      <c r="B45" s="24">
        <f>'1'!E48</f>
        <v>0</v>
      </c>
    </row>
    <row r="46" spans="1:2" x14ac:dyDescent="0.3">
      <c r="A46">
        <f>ROUND('1'!B49, 1)</f>
        <v>0</v>
      </c>
      <c r="B46" s="24">
        <f>'1'!E49</f>
        <v>0</v>
      </c>
    </row>
    <row r="47" spans="1:2" x14ac:dyDescent="0.3">
      <c r="A47">
        <f>ROUND('1'!B50, 1)</f>
        <v>0</v>
      </c>
      <c r="B47" s="24">
        <f>'1'!E50</f>
        <v>0</v>
      </c>
    </row>
    <row r="48" spans="1:2" x14ac:dyDescent="0.3">
      <c r="A48">
        <f>ROUND('1'!B51, 1)</f>
        <v>0</v>
      </c>
      <c r="B48" s="24">
        <f>'1'!E51</f>
        <v>0</v>
      </c>
    </row>
    <row r="49" spans="1:2" x14ac:dyDescent="0.3">
      <c r="A49">
        <f>ROUND('1'!B52, 1)</f>
        <v>0</v>
      </c>
      <c r="B49" s="24">
        <f>'1'!E52</f>
        <v>0</v>
      </c>
    </row>
    <row r="50" spans="1:2" x14ac:dyDescent="0.3">
      <c r="A50">
        <f>ROUND('1'!B53, 1)</f>
        <v>0</v>
      </c>
      <c r="B50" s="24">
        <f>'1'!E53</f>
        <v>0</v>
      </c>
    </row>
    <row r="51" spans="1:2" x14ac:dyDescent="0.3">
      <c r="A51">
        <f>ROUND('1'!B54, 1)</f>
        <v>0</v>
      </c>
      <c r="B51" s="24">
        <f>'1'!E54</f>
        <v>0</v>
      </c>
    </row>
    <row r="52" spans="1:2" x14ac:dyDescent="0.3">
      <c r="A52">
        <f>ROUND('1'!B55, 1)</f>
        <v>0</v>
      </c>
      <c r="B52" s="24">
        <f>'1'!E55</f>
        <v>0</v>
      </c>
    </row>
    <row r="53" spans="1:2" x14ac:dyDescent="0.3">
      <c r="A53">
        <f>ROUND('1'!B56, 1)</f>
        <v>0</v>
      </c>
      <c r="B53" s="24">
        <f>'1'!E56</f>
        <v>0</v>
      </c>
    </row>
    <row r="54" spans="1:2" x14ac:dyDescent="0.3">
      <c r="A54">
        <f>ROUND('1'!B57, 1)</f>
        <v>0</v>
      </c>
      <c r="B54" s="24">
        <f>'1'!E57</f>
        <v>0</v>
      </c>
    </row>
    <row r="55" spans="1:2" x14ac:dyDescent="0.3">
      <c r="A55">
        <f>ROUND('1'!B58, 1)</f>
        <v>0</v>
      </c>
      <c r="B55" s="24">
        <f>'1'!E58</f>
        <v>0</v>
      </c>
    </row>
    <row r="56" spans="1:2" x14ac:dyDescent="0.3">
      <c r="A56">
        <f>ROUND('1'!B59, 1)</f>
        <v>0</v>
      </c>
      <c r="B56" s="24">
        <f>'1'!E59</f>
        <v>0</v>
      </c>
    </row>
    <row r="57" spans="1:2" x14ac:dyDescent="0.3">
      <c r="A57">
        <f>ROUND('1'!B60, 1)</f>
        <v>0</v>
      </c>
      <c r="B57" s="24">
        <f>'1'!E60</f>
        <v>0</v>
      </c>
    </row>
    <row r="58" spans="1:2" x14ac:dyDescent="0.3">
      <c r="A58">
        <f>ROUND('1'!B61, 1)</f>
        <v>0</v>
      </c>
      <c r="B58" s="24">
        <f>'1'!E61</f>
        <v>0</v>
      </c>
    </row>
    <row r="59" spans="1:2" x14ac:dyDescent="0.3">
      <c r="A59">
        <f>ROUND('1'!B62, 1)</f>
        <v>0</v>
      </c>
      <c r="B59" s="24">
        <f>'1'!E62</f>
        <v>0</v>
      </c>
    </row>
    <row r="60" spans="1:2" x14ac:dyDescent="0.3">
      <c r="A60">
        <f>ROUND('1'!B63, 1)</f>
        <v>0</v>
      </c>
      <c r="B60" s="24">
        <f>'1'!E63</f>
        <v>0</v>
      </c>
    </row>
    <row r="61" spans="1:2" x14ac:dyDescent="0.3">
      <c r="A61">
        <f>ROUND('1'!B64, 1)</f>
        <v>0</v>
      </c>
      <c r="B61" s="24">
        <f>'1'!E64</f>
        <v>0</v>
      </c>
    </row>
    <row r="62" spans="1:2" x14ac:dyDescent="0.3">
      <c r="A62">
        <f>ROUND('1'!B65, 1)</f>
        <v>0</v>
      </c>
      <c r="B62" s="24">
        <f>'1'!E65</f>
        <v>0</v>
      </c>
    </row>
    <row r="63" spans="1:2" x14ac:dyDescent="0.3">
      <c r="A63">
        <f>ROUND('1'!B66, 1)</f>
        <v>0</v>
      </c>
      <c r="B63" s="24">
        <f>'1'!E66</f>
        <v>0</v>
      </c>
    </row>
    <row r="64" spans="1:2" x14ac:dyDescent="0.3">
      <c r="A64">
        <f>ROUND('1'!B67, 1)</f>
        <v>0</v>
      </c>
      <c r="B64" s="24">
        <f>'1'!E67</f>
        <v>0</v>
      </c>
    </row>
    <row r="65" spans="1:2" x14ac:dyDescent="0.3">
      <c r="A65">
        <f>ROUND('1'!B68, 1)</f>
        <v>0</v>
      </c>
      <c r="B65" s="24">
        <f>'1'!E68</f>
        <v>0</v>
      </c>
    </row>
    <row r="66" spans="1:2" x14ac:dyDescent="0.3">
      <c r="A66">
        <f>ROUND('1'!B69, 1)</f>
        <v>0</v>
      </c>
      <c r="B66" s="24">
        <f>'1'!E69</f>
        <v>0</v>
      </c>
    </row>
    <row r="67" spans="1:2" x14ac:dyDescent="0.3">
      <c r="A67">
        <f>ROUND('1'!B70, 1)</f>
        <v>0</v>
      </c>
      <c r="B67" s="24">
        <f>'1'!E70</f>
        <v>0</v>
      </c>
    </row>
    <row r="68" spans="1:2" x14ac:dyDescent="0.3">
      <c r="A68">
        <f>ROUND('1'!B71, 1)</f>
        <v>0</v>
      </c>
      <c r="B68" s="24">
        <f>'1'!E71</f>
        <v>0</v>
      </c>
    </row>
    <row r="69" spans="1:2" x14ac:dyDescent="0.3">
      <c r="A69">
        <f>ROUND('1'!B72, 1)</f>
        <v>0</v>
      </c>
      <c r="B69" s="24">
        <f>'1'!E72</f>
        <v>0</v>
      </c>
    </row>
    <row r="70" spans="1:2" x14ac:dyDescent="0.3">
      <c r="A70">
        <f>ROUND('1'!B73, 1)</f>
        <v>0</v>
      </c>
      <c r="B70" s="24">
        <f>'1'!E73</f>
        <v>0</v>
      </c>
    </row>
    <row r="71" spans="1:2" x14ac:dyDescent="0.3">
      <c r="A71">
        <f>ROUND('1'!B74, 1)</f>
        <v>0</v>
      </c>
      <c r="B71" s="24">
        <f>'1'!E74</f>
        <v>0</v>
      </c>
    </row>
    <row r="72" spans="1:2" x14ac:dyDescent="0.3">
      <c r="A72">
        <f>ROUND('1'!B75, 1)</f>
        <v>0</v>
      </c>
      <c r="B72" s="24">
        <f>'1'!E75</f>
        <v>0</v>
      </c>
    </row>
    <row r="73" spans="1:2" x14ac:dyDescent="0.3">
      <c r="A73">
        <f>ROUND('1'!B76, 1)</f>
        <v>0</v>
      </c>
      <c r="B73" s="24">
        <f>'1'!E76</f>
        <v>0</v>
      </c>
    </row>
    <row r="74" spans="1:2" x14ac:dyDescent="0.3">
      <c r="A74">
        <f>ROUND('1'!B77, 1)</f>
        <v>0</v>
      </c>
      <c r="B74" s="24">
        <f>'1'!E77</f>
        <v>0</v>
      </c>
    </row>
    <row r="75" spans="1:2" x14ac:dyDescent="0.3">
      <c r="A75">
        <f>ROUND('1'!B78, 1)</f>
        <v>0</v>
      </c>
      <c r="B75" s="24">
        <f>'1'!E78</f>
        <v>0</v>
      </c>
    </row>
    <row r="76" spans="1:2" x14ac:dyDescent="0.3">
      <c r="A76">
        <f>ROUND('1'!B79, 1)</f>
        <v>0</v>
      </c>
      <c r="B76" s="24">
        <f>'1'!E79</f>
        <v>0</v>
      </c>
    </row>
    <row r="77" spans="1:2" x14ac:dyDescent="0.3">
      <c r="A77">
        <f>ROUND('1'!B80, 1)</f>
        <v>0</v>
      </c>
      <c r="B77" s="24">
        <f>'1'!E80</f>
        <v>0</v>
      </c>
    </row>
    <row r="78" spans="1:2" x14ac:dyDescent="0.3">
      <c r="A78">
        <f>ROUND('1'!B81, 1)</f>
        <v>0</v>
      </c>
      <c r="B78" s="24">
        <f>'1'!E81</f>
        <v>0</v>
      </c>
    </row>
    <row r="79" spans="1:2" x14ac:dyDescent="0.3">
      <c r="A79">
        <f>ROUND('1'!B82, 1)</f>
        <v>0</v>
      </c>
      <c r="B79" s="24">
        <f>'1'!E82</f>
        <v>0</v>
      </c>
    </row>
    <row r="80" spans="1:2" x14ac:dyDescent="0.3">
      <c r="A80">
        <f>ROUND('1'!B83, 1)</f>
        <v>0</v>
      </c>
      <c r="B80" s="24">
        <f>'1'!E83</f>
        <v>0</v>
      </c>
    </row>
    <row r="81" spans="1:2" x14ac:dyDescent="0.3">
      <c r="A81">
        <f>ROUND('1'!B84, 1)</f>
        <v>0</v>
      </c>
      <c r="B81" s="24">
        <f>'1'!E84</f>
        <v>0</v>
      </c>
    </row>
    <row r="82" spans="1:2" x14ac:dyDescent="0.3">
      <c r="A82">
        <f>ROUND('1'!B85, 1)</f>
        <v>0</v>
      </c>
      <c r="B82" s="24">
        <f>'1'!E85</f>
        <v>0</v>
      </c>
    </row>
    <row r="83" spans="1:2" x14ac:dyDescent="0.3">
      <c r="A83">
        <f>ROUND('1'!B86, 1)</f>
        <v>0</v>
      </c>
      <c r="B83" s="24">
        <f>'1'!E86</f>
        <v>0</v>
      </c>
    </row>
    <row r="84" spans="1:2" x14ac:dyDescent="0.3">
      <c r="A84">
        <f>ROUND('1'!B87, 1)</f>
        <v>0</v>
      </c>
      <c r="B84" s="24">
        <f>'1'!E87</f>
        <v>0</v>
      </c>
    </row>
    <row r="85" spans="1:2" x14ac:dyDescent="0.3">
      <c r="A85">
        <f>ROUND('1'!B88, 1)</f>
        <v>0</v>
      </c>
      <c r="B85" s="24">
        <f>'1'!E88</f>
        <v>0</v>
      </c>
    </row>
    <row r="86" spans="1:2" x14ac:dyDescent="0.3">
      <c r="A86">
        <f>ROUND('1'!B89, 1)</f>
        <v>0</v>
      </c>
      <c r="B86" s="24">
        <f>'1'!E89</f>
        <v>0</v>
      </c>
    </row>
    <row r="87" spans="1:2" x14ac:dyDescent="0.3">
      <c r="A87">
        <f>ROUND('1'!B90, 1)</f>
        <v>0</v>
      </c>
      <c r="B87" s="24">
        <f>'1'!E90</f>
        <v>0</v>
      </c>
    </row>
    <row r="88" spans="1:2" x14ac:dyDescent="0.3">
      <c r="A88">
        <f>ROUND('1'!B91, 1)</f>
        <v>0</v>
      </c>
      <c r="B88" s="24">
        <f>'1'!E91</f>
        <v>0</v>
      </c>
    </row>
    <row r="89" spans="1:2" x14ac:dyDescent="0.3">
      <c r="A89">
        <f>ROUND('1'!B92, 1)</f>
        <v>0</v>
      </c>
      <c r="B89" s="24">
        <f>'1'!E92</f>
        <v>0</v>
      </c>
    </row>
    <row r="90" spans="1:2" x14ac:dyDescent="0.3">
      <c r="A90">
        <f>ROUND('1'!B93, 1)</f>
        <v>0</v>
      </c>
      <c r="B90" s="24">
        <f>'1'!E93</f>
        <v>0</v>
      </c>
    </row>
    <row r="91" spans="1:2" x14ac:dyDescent="0.3">
      <c r="A91">
        <f>ROUND('1'!B94, 1)</f>
        <v>0</v>
      </c>
      <c r="B91" s="24">
        <f>'1'!E94</f>
        <v>0</v>
      </c>
    </row>
    <row r="92" spans="1:2" x14ac:dyDescent="0.3">
      <c r="A92">
        <f>ROUND('1'!B95, 1)</f>
        <v>0</v>
      </c>
      <c r="B92" s="24">
        <f>'1'!E95</f>
        <v>0</v>
      </c>
    </row>
    <row r="93" spans="1:2" x14ac:dyDescent="0.3">
      <c r="A93">
        <f>ROUND('1'!B96, 1)</f>
        <v>0</v>
      </c>
      <c r="B93" s="24">
        <f>'1'!E96</f>
        <v>0</v>
      </c>
    </row>
    <row r="94" spans="1:2" x14ac:dyDescent="0.3">
      <c r="A94">
        <f>ROUND('1'!B97, 1)</f>
        <v>0</v>
      </c>
      <c r="B94" s="24">
        <f>'1'!E97</f>
        <v>0</v>
      </c>
    </row>
    <row r="95" spans="1:2" x14ac:dyDescent="0.3">
      <c r="A95">
        <f>ROUND('1'!B98, 1)</f>
        <v>0</v>
      </c>
      <c r="B95" s="24">
        <f>'1'!E98</f>
        <v>0</v>
      </c>
    </row>
    <row r="96" spans="1:2" x14ac:dyDescent="0.3">
      <c r="A96">
        <f>ROUND('1'!B99, 1)</f>
        <v>0</v>
      </c>
      <c r="B96" s="24">
        <f>'1'!E99</f>
        <v>0</v>
      </c>
    </row>
    <row r="97" spans="1:2" x14ac:dyDescent="0.3">
      <c r="A97">
        <f>ROUND('1'!B100, 1)</f>
        <v>0</v>
      </c>
      <c r="B97" s="24">
        <f>'1'!E100</f>
        <v>0</v>
      </c>
    </row>
    <row r="98" spans="1:2" x14ac:dyDescent="0.3">
      <c r="A98">
        <f>ROUND('1'!B101, 1)</f>
        <v>0</v>
      </c>
      <c r="B98" s="24">
        <f>'1'!E101</f>
        <v>0</v>
      </c>
    </row>
    <row r="99" spans="1:2" x14ac:dyDescent="0.3">
      <c r="A99">
        <f>ROUND('1'!B102, 1)</f>
        <v>0</v>
      </c>
      <c r="B99" s="24">
        <f>'1'!E102</f>
        <v>0</v>
      </c>
    </row>
    <row r="100" spans="1:2" x14ac:dyDescent="0.3">
      <c r="A100">
        <f>ROUND('1'!B103, 1)</f>
        <v>0</v>
      </c>
      <c r="B100" s="24">
        <f>'1'!E103</f>
        <v>0</v>
      </c>
    </row>
    <row r="101" spans="1:2" x14ac:dyDescent="0.3">
      <c r="A101">
        <f>ROUND('1'!B104, 1)</f>
        <v>0</v>
      </c>
      <c r="B101" s="24">
        <f>'1'!E104</f>
        <v>0</v>
      </c>
    </row>
    <row r="102" spans="1:2" x14ac:dyDescent="0.3">
      <c r="A102">
        <f>ROUND('1'!B105, 1)</f>
        <v>0</v>
      </c>
      <c r="B102" s="24">
        <f>'1'!E105</f>
        <v>0</v>
      </c>
    </row>
    <row r="103" spans="1:2" x14ac:dyDescent="0.3">
      <c r="A103">
        <f>ROUND('1'!B106, 1)</f>
        <v>0</v>
      </c>
      <c r="B103" s="24">
        <f>'1'!E106</f>
        <v>0</v>
      </c>
    </row>
    <row r="104" spans="1:2" x14ac:dyDescent="0.3">
      <c r="A104">
        <f>ROUND('1'!B107, 1)</f>
        <v>0</v>
      </c>
      <c r="B104" s="24">
        <f>'1'!E107</f>
        <v>0</v>
      </c>
    </row>
    <row r="105" spans="1:2" x14ac:dyDescent="0.3">
      <c r="A105">
        <f>ROUND('1'!B108, 1)</f>
        <v>0</v>
      </c>
      <c r="B105" s="24">
        <f>'1'!E108</f>
        <v>0</v>
      </c>
    </row>
    <row r="106" spans="1:2" x14ac:dyDescent="0.3">
      <c r="A106">
        <f>ROUND('1'!B109, 1)</f>
        <v>0</v>
      </c>
      <c r="B106" s="24">
        <f>'1'!E109</f>
        <v>0</v>
      </c>
    </row>
    <row r="107" spans="1:2" x14ac:dyDescent="0.3">
      <c r="A107">
        <f>ROUND('1'!B110, 1)</f>
        <v>0</v>
      </c>
      <c r="B107" s="24">
        <f>'1'!E110</f>
        <v>0</v>
      </c>
    </row>
    <row r="108" spans="1:2" x14ac:dyDescent="0.3">
      <c r="A108">
        <f>ROUND('1'!B111, 1)</f>
        <v>0</v>
      </c>
      <c r="B108" s="24">
        <f>'1'!E111</f>
        <v>0</v>
      </c>
    </row>
    <row r="109" spans="1:2" x14ac:dyDescent="0.3">
      <c r="A109">
        <f>ROUND('1'!B112, 1)</f>
        <v>0</v>
      </c>
      <c r="B109" s="24">
        <f>'1'!E112</f>
        <v>0</v>
      </c>
    </row>
    <row r="110" spans="1:2" x14ac:dyDescent="0.3">
      <c r="A110">
        <f>ROUND('1'!B113, 1)</f>
        <v>0</v>
      </c>
      <c r="B110" s="24">
        <f>'1'!E113</f>
        <v>0</v>
      </c>
    </row>
    <row r="111" spans="1:2" x14ac:dyDescent="0.3">
      <c r="A111">
        <f>ROUND('1'!B114, 1)</f>
        <v>0</v>
      </c>
      <c r="B111" s="24">
        <f>'1'!E114</f>
        <v>0</v>
      </c>
    </row>
    <row r="112" spans="1:2" x14ac:dyDescent="0.3">
      <c r="A112">
        <f>ROUND('1'!B115, 1)</f>
        <v>0</v>
      </c>
      <c r="B112" s="24">
        <f>'1'!E115</f>
        <v>0</v>
      </c>
    </row>
    <row r="113" spans="1:2" x14ac:dyDescent="0.3">
      <c r="A113">
        <f>ROUND('1'!B116, 1)</f>
        <v>0</v>
      </c>
      <c r="B113" s="24">
        <f>'1'!E116</f>
        <v>0</v>
      </c>
    </row>
    <row r="114" spans="1:2" x14ac:dyDescent="0.3">
      <c r="A114">
        <f>ROUND('1'!B117, 1)</f>
        <v>0</v>
      </c>
      <c r="B114" s="24">
        <f>'1'!E117</f>
        <v>0</v>
      </c>
    </row>
    <row r="115" spans="1:2" x14ac:dyDescent="0.3">
      <c r="A115">
        <f>ROUND('1'!B118, 1)</f>
        <v>0</v>
      </c>
      <c r="B115" s="24">
        <f>'1'!E118</f>
        <v>0</v>
      </c>
    </row>
    <row r="116" spans="1:2" x14ac:dyDescent="0.3">
      <c r="A116">
        <f>ROUND('1'!B119, 1)</f>
        <v>0</v>
      </c>
      <c r="B116" s="24">
        <f>'1'!E119</f>
        <v>0</v>
      </c>
    </row>
    <row r="117" spans="1:2" x14ac:dyDescent="0.3">
      <c r="A117">
        <f>ROUND('1'!B120, 1)</f>
        <v>0</v>
      </c>
      <c r="B117" s="24">
        <f>'1'!E120</f>
        <v>0</v>
      </c>
    </row>
    <row r="118" spans="1:2" x14ac:dyDescent="0.3">
      <c r="A118">
        <f>ROUND('1'!B121, 1)</f>
        <v>0</v>
      </c>
      <c r="B118" s="24">
        <f>'1'!E121</f>
        <v>0</v>
      </c>
    </row>
    <row r="119" spans="1:2" x14ac:dyDescent="0.3">
      <c r="A119">
        <f>ROUND('1'!B122, 1)</f>
        <v>0</v>
      </c>
      <c r="B119" s="24">
        <f>'1'!E122</f>
        <v>0</v>
      </c>
    </row>
    <row r="120" spans="1:2" x14ac:dyDescent="0.3">
      <c r="A120">
        <f>ROUND('1'!B123, 1)</f>
        <v>0</v>
      </c>
      <c r="B120" s="24">
        <f>'1'!E123</f>
        <v>0</v>
      </c>
    </row>
    <row r="121" spans="1:2" x14ac:dyDescent="0.3">
      <c r="A121">
        <f>ROUND('1'!B124, 1)</f>
        <v>0</v>
      </c>
      <c r="B121" s="24">
        <f>'1'!E124</f>
        <v>0</v>
      </c>
    </row>
    <row r="122" spans="1:2" x14ac:dyDescent="0.3">
      <c r="A122">
        <f>ROUND('1'!B125, 1)</f>
        <v>0</v>
      </c>
      <c r="B122" s="24">
        <f>'1'!E125</f>
        <v>0</v>
      </c>
    </row>
    <row r="123" spans="1:2" x14ac:dyDescent="0.3">
      <c r="A123">
        <f>ROUND('1'!B126, 1)</f>
        <v>0</v>
      </c>
      <c r="B123" s="24">
        <f>'1'!E126</f>
        <v>0</v>
      </c>
    </row>
    <row r="124" spans="1:2" x14ac:dyDescent="0.3">
      <c r="A124">
        <f>ROUND('1'!B127, 1)</f>
        <v>0</v>
      </c>
      <c r="B124" s="24">
        <f>'1'!E127</f>
        <v>0</v>
      </c>
    </row>
    <row r="125" spans="1:2" x14ac:dyDescent="0.3">
      <c r="A125">
        <f>ROUND('1'!B128, 1)</f>
        <v>0</v>
      </c>
      <c r="B125" s="24">
        <f>'1'!E128</f>
        <v>0</v>
      </c>
    </row>
    <row r="126" spans="1:2" x14ac:dyDescent="0.3">
      <c r="A126">
        <f>ROUND('1'!B129, 1)</f>
        <v>0</v>
      </c>
      <c r="B126" s="24">
        <f>'1'!E129</f>
        <v>0</v>
      </c>
    </row>
    <row r="127" spans="1:2" x14ac:dyDescent="0.3">
      <c r="A127">
        <f>ROUND('1'!B130, 1)</f>
        <v>0</v>
      </c>
      <c r="B127" s="24">
        <f>'1'!E130</f>
        <v>0</v>
      </c>
    </row>
    <row r="128" spans="1:2" x14ac:dyDescent="0.3">
      <c r="A128">
        <f>ROUND('1'!B131, 1)</f>
        <v>0</v>
      </c>
      <c r="B128" s="24">
        <f>'1'!E131</f>
        <v>0</v>
      </c>
    </row>
    <row r="129" spans="1:2" x14ac:dyDescent="0.3">
      <c r="A129">
        <f>ROUND('1'!B132, 1)</f>
        <v>0</v>
      </c>
      <c r="B129" s="24">
        <f>'1'!E132</f>
        <v>0</v>
      </c>
    </row>
    <row r="130" spans="1:2" x14ac:dyDescent="0.3">
      <c r="A130">
        <f>ROUND('1'!B133, 1)</f>
        <v>0</v>
      </c>
      <c r="B130" s="24">
        <f>'1'!E133</f>
        <v>0</v>
      </c>
    </row>
    <row r="131" spans="1:2" x14ac:dyDescent="0.3">
      <c r="A131">
        <f>ROUND('1'!B134, 1)</f>
        <v>0</v>
      </c>
      <c r="B131" s="24">
        <f>'1'!E134</f>
        <v>0</v>
      </c>
    </row>
    <row r="132" spans="1:2" x14ac:dyDescent="0.3">
      <c r="A132">
        <f>ROUND('1'!B135, 1)</f>
        <v>0</v>
      </c>
      <c r="B132" s="24">
        <f>'1'!E135</f>
        <v>0</v>
      </c>
    </row>
    <row r="133" spans="1:2" x14ac:dyDescent="0.3">
      <c r="A133">
        <f>ROUND('1'!B136, 1)</f>
        <v>0</v>
      </c>
      <c r="B133" s="24">
        <f>'1'!E136</f>
        <v>0</v>
      </c>
    </row>
    <row r="134" spans="1:2" x14ac:dyDescent="0.3">
      <c r="A134">
        <f>ROUND('1'!B137, 1)</f>
        <v>0</v>
      </c>
      <c r="B134" s="24">
        <f>'1'!E137</f>
        <v>0</v>
      </c>
    </row>
    <row r="135" spans="1:2" x14ac:dyDescent="0.3">
      <c r="A135">
        <f>ROUND('1'!B138, 1)</f>
        <v>0</v>
      </c>
      <c r="B135" s="24">
        <f>'1'!E138</f>
        <v>0</v>
      </c>
    </row>
    <row r="136" spans="1:2" x14ac:dyDescent="0.3">
      <c r="A136">
        <f>ROUND('1'!B139, 1)</f>
        <v>0</v>
      </c>
      <c r="B136" s="24">
        <f>'1'!E139</f>
        <v>0</v>
      </c>
    </row>
    <row r="137" spans="1:2" x14ac:dyDescent="0.3">
      <c r="A137">
        <f>ROUND('1'!B140, 1)</f>
        <v>0</v>
      </c>
      <c r="B137" s="24">
        <f>'1'!E140</f>
        <v>0</v>
      </c>
    </row>
    <row r="138" spans="1:2" x14ac:dyDescent="0.3">
      <c r="A138">
        <f>ROUND('1'!B141, 1)</f>
        <v>0</v>
      </c>
      <c r="B138" s="24">
        <f>'1'!E141</f>
        <v>0</v>
      </c>
    </row>
    <row r="139" spans="1:2" x14ac:dyDescent="0.3">
      <c r="A139">
        <f>ROUND('1'!B142, 1)</f>
        <v>0</v>
      </c>
      <c r="B139" s="24">
        <f>'1'!E142</f>
        <v>0</v>
      </c>
    </row>
    <row r="140" spans="1:2" x14ac:dyDescent="0.3">
      <c r="A140">
        <f>ROUND('1'!B143, 1)</f>
        <v>0</v>
      </c>
      <c r="B140" s="24">
        <f>'1'!E143</f>
        <v>0</v>
      </c>
    </row>
    <row r="141" spans="1:2" x14ac:dyDescent="0.3">
      <c r="A141">
        <f>ROUND('1'!B144, 1)</f>
        <v>0</v>
      </c>
      <c r="B141" s="24">
        <f>'1'!E144</f>
        <v>0</v>
      </c>
    </row>
    <row r="142" spans="1:2" x14ac:dyDescent="0.3">
      <c r="A142">
        <f>ROUND('1'!B145, 1)</f>
        <v>0</v>
      </c>
      <c r="B142" s="24">
        <f>'1'!E145</f>
        <v>0</v>
      </c>
    </row>
    <row r="143" spans="1:2" x14ac:dyDescent="0.3">
      <c r="A143">
        <f>ROUND('1'!B146, 1)</f>
        <v>0</v>
      </c>
      <c r="B143" s="24">
        <f>'1'!E146</f>
        <v>0</v>
      </c>
    </row>
    <row r="144" spans="1:2" x14ac:dyDescent="0.3">
      <c r="A144">
        <f>ROUND('1'!B147, 1)</f>
        <v>0</v>
      </c>
      <c r="B144" s="24">
        <f>'1'!E147</f>
        <v>0</v>
      </c>
    </row>
    <row r="145" spans="1:2" x14ac:dyDescent="0.3">
      <c r="A145">
        <f>ROUND('1'!B148, 1)</f>
        <v>0</v>
      </c>
      <c r="B145" s="24">
        <f>'1'!E148</f>
        <v>0</v>
      </c>
    </row>
    <row r="146" spans="1:2" x14ac:dyDescent="0.3">
      <c r="A146">
        <f>ROUND('1'!B149, 1)</f>
        <v>0</v>
      </c>
      <c r="B146" s="24">
        <f>'1'!E149</f>
        <v>0</v>
      </c>
    </row>
    <row r="147" spans="1:2" x14ac:dyDescent="0.3">
      <c r="A147">
        <f>ROUND('1'!B150, 1)</f>
        <v>0</v>
      </c>
      <c r="B147" s="24">
        <f>'1'!E150</f>
        <v>0</v>
      </c>
    </row>
    <row r="148" spans="1:2" x14ac:dyDescent="0.3">
      <c r="A148">
        <f>ROUND('1'!B151, 1)</f>
        <v>0</v>
      </c>
      <c r="B148" s="24">
        <f>'1'!E151</f>
        <v>0</v>
      </c>
    </row>
    <row r="149" spans="1:2" x14ac:dyDescent="0.3">
      <c r="A149">
        <f>ROUND('1'!B152, 1)</f>
        <v>0</v>
      </c>
      <c r="B149" s="24">
        <f>'1'!E152</f>
        <v>0</v>
      </c>
    </row>
    <row r="150" spans="1:2" x14ac:dyDescent="0.3">
      <c r="A150">
        <f>ROUND('1'!B153, 1)</f>
        <v>0</v>
      </c>
      <c r="B150" s="24">
        <f>'1'!E153</f>
        <v>0</v>
      </c>
    </row>
    <row r="151" spans="1:2" x14ac:dyDescent="0.3">
      <c r="A151">
        <f>ROUND('1'!B154, 1)</f>
        <v>0</v>
      </c>
      <c r="B151" s="24">
        <f>'1'!E154</f>
        <v>0</v>
      </c>
    </row>
    <row r="152" spans="1:2" x14ac:dyDescent="0.3">
      <c r="A152">
        <f>ROUND('1'!B155, 1)</f>
        <v>0</v>
      </c>
      <c r="B152" s="24">
        <f>'1'!E155</f>
        <v>0</v>
      </c>
    </row>
    <row r="153" spans="1:2" x14ac:dyDescent="0.3">
      <c r="A153">
        <f>ROUND('1'!B156, 1)</f>
        <v>0</v>
      </c>
      <c r="B153" s="24">
        <f>'1'!E156</f>
        <v>0</v>
      </c>
    </row>
    <row r="154" spans="1:2" x14ac:dyDescent="0.3">
      <c r="A154">
        <f>ROUND('1'!B157, 1)</f>
        <v>0</v>
      </c>
      <c r="B154" s="24">
        <f>'1'!E157</f>
        <v>0</v>
      </c>
    </row>
    <row r="155" spans="1:2" x14ac:dyDescent="0.3">
      <c r="A155">
        <f>ROUND('1'!B158, 1)</f>
        <v>0</v>
      </c>
      <c r="B155" s="24">
        <f>'1'!E158</f>
        <v>0</v>
      </c>
    </row>
    <row r="156" spans="1:2" x14ac:dyDescent="0.3">
      <c r="A156">
        <f>ROUND('1'!B159, 1)</f>
        <v>0</v>
      </c>
      <c r="B156" s="24">
        <f>'1'!E159</f>
        <v>0</v>
      </c>
    </row>
    <row r="157" spans="1:2" x14ac:dyDescent="0.3">
      <c r="A157">
        <f>ROUND('1'!B160, 1)</f>
        <v>0</v>
      </c>
      <c r="B157" s="24">
        <f>'1'!E160</f>
        <v>0</v>
      </c>
    </row>
    <row r="158" spans="1:2" x14ac:dyDescent="0.3">
      <c r="A158">
        <f>ROUND('1'!B161, 1)</f>
        <v>0</v>
      </c>
      <c r="B158" s="24">
        <f>'1'!E161</f>
        <v>0</v>
      </c>
    </row>
    <row r="159" spans="1:2" x14ac:dyDescent="0.3">
      <c r="A159">
        <f>ROUND('1'!B162, 1)</f>
        <v>0</v>
      </c>
      <c r="B159" s="24">
        <f>'1'!E162</f>
        <v>0</v>
      </c>
    </row>
    <row r="160" spans="1:2" x14ac:dyDescent="0.3">
      <c r="A160">
        <f>ROUND('1'!B163, 1)</f>
        <v>0</v>
      </c>
      <c r="B160" s="24">
        <f>'1'!E163</f>
        <v>0</v>
      </c>
    </row>
    <row r="161" spans="1:2" x14ac:dyDescent="0.3">
      <c r="A161">
        <f>ROUND('1'!B164, 1)</f>
        <v>0</v>
      </c>
      <c r="B161" s="24">
        <f>'1'!E164</f>
        <v>0</v>
      </c>
    </row>
    <row r="162" spans="1:2" x14ac:dyDescent="0.3">
      <c r="A162">
        <f>ROUND('1'!B165, 1)</f>
        <v>0</v>
      </c>
      <c r="B162" s="24">
        <f>'1'!E165</f>
        <v>0</v>
      </c>
    </row>
    <row r="163" spans="1:2" x14ac:dyDescent="0.3">
      <c r="A163">
        <f>ROUND('1'!B166, 1)</f>
        <v>0</v>
      </c>
      <c r="B163" s="24">
        <f>'1'!E166</f>
        <v>0</v>
      </c>
    </row>
    <row r="164" spans="1:2" x14ac:dyDescent="0.3">
      <c r="A164">
        <f>ROUND('1'!B167, 1)</f>
        <v>0</v>
      </c>
      <c r="B164" s="24">
        <f>'1'!E167</f>
        <v>0</v>
      </c>
    </row>
    <row r="165" spans="1:2" x14ac:dyDescent="0.3">
      <c r="A165">
        <f>ROUND('1'!B168, 1)</f>
        <v>0</v>
      </c>
      <c r="B165" s="24">
        <f>'1'!E168</f>
        <v>0</v>
      </c>
    </row>
    <row r="166" spans="1:2" x14ac:dyDescent="0.3">
      <c r="A166">
        <f>ROUND('1'!B169, 1)</f>
        <v>0</v>
      </c>
      <c r="B166" s="24">
        <f>'1'!E169</f>
        <v>0</v>
      </c>
    </row>
    <row r="167" spans="1:2" x14ac:dyDescent="0.3">
      <c r="A167">
        <f>ROUND('1'!B170, 1)</f>
        <v>0</v>
      </c>
      <c r="B167" s="24">
        <f>'1'!E170</f>
        <v>0</v>
      </c>
    </row>
    <row r="168" spans="1:2" x14ac:dyDescent="0.3">
      <c r="A168">
        <f>ROUND('1'!B171, 1)</f>
        <v>0</v>
      </c>
      <c r="B168" s="24">
        <f>'1'!E171</f>
        <v>0</v>
      </c>
    </row>
    <row r="169" spans="1:2" x14ac:dyDescent="0.3">
      <c r="A169">
        <f>ROUND('1'!B172, 1)</f>
        <v>0</v>
      </c>
      <c r="B169" s="24">
        <f>'1'!E172</f>
        <v>0</v>
      </c>
    </row>
    <row r="170" spans="1:2" x14ac:dyDescent="0.3">
      <c r="A170">
        <f>ROUND('1'!B173, 1)</f>
        <v>0</v>
      </c>
      <c r="B170" s="24">
        <f>'1'!E173</f>
        <v>0</v>
      </c>
    </row>
    <row r="171" spans="1:2" x14ac:dyDescent="0.3">
      <c r="A171">
        <f>ROUND('1'!B174, 1)</f>
        <v>0</v>
      </c>
      <c r="B171" s="24">
        <f>'1'!E174</f>
        <v>0</v>
      </c>
    </row>
    <row r="172" spans="1:2" x14ac:dyDescent="0.3">
      <c r="A172">
        <f>ROUND('1'!B175, 1)</f>
        <v>0</v>
      </c>
      <c r="B172" s="24">
        <f>'1'!E175</f>
        <v>0</v>
      </c>
    </row>
    <row r="173" spans="1:2" x14ac:dyDescent="0.3">
      <c r="A173">
        <f>ROUND('1'!B176, 1)</f>
        <v>0</v>
      </c>
      <c r="B173" s="24">
        <f>'1'!E176</f>
        <v>0</v>
      </c>
    </row>
    <row r="174" spans="1:2" x14ac:dyDescent="0.3">
      <c r="A174">
        <f>ROUND('1'!B177, 1)</f>
        <v>0</v>
      </c>
      <c r="B174" s="24">
        <f>'1'!E177</f>
        <v>0</v>
      </c>
    </row>
    <row r="175" spans="1:2" x14ac:dyDescent="0.3">
      <c r="A175">
        <f>ROUND('1'!B178, 1)</f>
        <v>0</v>
      </c>
      <c r="B175" s="24">
        <f>'1'!E178</f>
        <v>0</v>
      </c>
    </row>
    <row r="176" spans="1:2" x14ac:dyDescent="0.3">
      <c r="A176">
        <f>ROUND('1'!B179, 1)</f>
        <v>0</v>
      </c>
      <c r="B176" s="24">
        <f>'1'!E179</f>
        <v>0</v>
      </c>
    </row>
    <row r="177" spans="1:2" x14ac:dyDescent="0.3">
      <c r="A177">
        <f>ROUND('1'!B180, 1)</f>
        <v>0</v>
      </c>
      <c r="B177" s="24">
        <f>'1'!E180</f>
        <v>0</v>
      </c>
    </row>
    <row r="178" spans="1:2" x14ac:dyDescent="0.3">
      <c r="A178">
        <f>ROUND('1'!B181, 1)</f>
        <v>0</v>
      </c>
      <c r="B178" s="24">
        <f>'1'!E181</f>
        <v>0</v>
      </c>
    </row>
    <row r="179" spans="1:2" x14ac:dyDescent="0.3">
      <c r="A179">
        <f>ROUND('1'!B182, 1)</f>
        <v>0</v>
      </c>
      <c r="B179" s="24">
        <f>'1'!E182</f>
        <v>0</v>
      </c>
    </row>
    <row r="180" spans="1:2" x14ac:dyDescent="0.3">
      <c r="A180">
        <f>ROUND('1'!B183, 1)</f>
        <v>0</v>
      </c>
      <c r="B180" s="24">
        <f>'1'!E183</f>
        <v>0</v>
      </c>
    </row>
    <row r="181" spans="1:2" x14ac:dyDescent="0.3">
      <c r="A181">
        <f>ROUND('1'!B184, 1)</f>
        <v>0</v>
      </c>
      <c r="B181" s="24">
        <f>'1'!E184</f>
        <v>0</v>
      </c>
    </row>
    <row r="182" spans="1:2" x14ac:dyDescent="0.3">
      <c r="A182">
        <f>ROUND('1'!B185, 1)</f>
        <v>0</v>
      </c>
      <c r="B182" s="24">
        <f>'1'!E185</f>
        <v>0</v>
      </c>
    </row>
    <row r="183" spans="1:2" x14ac:dyDescent="0.3">
      <c r="A183">
        <f>ROUND('1'!B186, 1)</f>
        <v>0</v>
      </c>
      <c r="B183" s="24">
        <f>'1'!E186</f>
        <v>0</v>
      </c>
    </row>
    <row r="184" spans="1:2" x14ac:dyDescent="0.3">
      <c r="A184">
        <f>ROUND('1'!B187, 1)</f>
        <v>0</v>
      </c>
      <c r="B184" s="24">
        <f>'1'!E187</f>
        <v>0</v>
      </c>
    </row>
    <row r="185" spans="1:2" x14ac:dyDescent="0.3">
      <c r="A185">
        <f>ROUND('1'!B188, 1)</f>
        <v>0</v>
      </c>
      <c r="B185" s="24">
        <f>'1'!E188</f>
        <v>0</v>
      </c>
    </row>
    <row r="186" spans="1:2" x14ac:dyDescent="0.3">
      <c r="A186">
        <f>ROUND('1'!B189, 1)</f>
        <v>0</v>
      </c>
      <c r="B186" s="24">
        <f>'1'!E189</f>
        <v>0</v>
      </c>
    </row>
    <row r="187" spans="1:2" x14ac:dyDescent="0.3">
      <c r="A187">
        <f>ROUND('1'!B190, 1)</f>
        <v>0</v>
      </c>
      <c r="B187" s="24">
        <f>'1'!E190</f>
        <v>0</v>
      </c>
    </row>
    <row r="188" spans="1:2" x14ac:dyDescent="0.3">
      <c r="A188">
        <f>ROUND('1'!B191, 1)</f>
        <v>0</v>
      </c>
      <c r="B188" s="24">
        <f>'1'!E191</f>
        <v>0</v>
      </c>
    </row>
    <row r="189" spans="1:2" x14ac:dyDescent="0.3">
      <c r="A189">
        <f>ROUND('1'!B192, 1)</f>
        <v>0</v>
      </c>
      <c r="B189" s="24">
        <f>'1'!E192</f>
        <v>0</v>
      </c>
    </row>
    <row r="190" spans="1:2" x14ac:dyDescent="0.3">
      <c r="A190">
        <f>ROUND('1'!B193, 1)</f>
        <v>0</v>
      </c>
      <c r="B190" s="24">
        <f>'1'!E193</f>
        <v>0</v>
      </c>
    </row>
    <row r="191" spans="1:2" x14ac:dyDescent="0.3">
      <c r="A191">
        <f>ROUND('1'!B194, 1)</f>
        <v>0</v>
      </c>
      <c r="B191" s="24">
        <f>'1'!E194</f>
        <v>0</v>
      </c>
    </row>
    <row r="192" spans="1:2" x14ac:dyDescent="0.3">
      <c r="A192">
        <f>ROUND('1'!B195, 1)</f>
        <v>0</v>
      </c>
      <c r="B192" s="24">
        <f>'1'!E195</f>
        <v>0</v>
      </c>
    </row>
    <row r="193" spans="1:2" x14ac:dyDescent="0.3">
      <c r="A193">
        <f>ROUND('1'!B196, 1)</f>
        <v>0</v>
      </c>
      <c r="B193" s="24">
        <f>'1'!E196</f>
        <v>0</v>
      </c>
    </row>
    <row r="194" spans="1:2" x14ac:dyDescent="0.3">
      <c r="A194">
        <f>ROUND('1'!B197, 1)</f>
        <v>0</v>
      </c>
      <c r="B194" s="24">
        <f>'1'!E197</f>
        <v>0</v>
      </c>
    </row>
    <row r="195" spans="1:2" x14ac:dyDescent="0.3">
      <c r="A195">
        <f>ROUND('1'!B198, 1)</f>
        <v>0</v>
      </c>
      <c r="B195" s="24">
        <f>'1'!E198</f>
        <v>0</v>
      </c>
    </row>
    <row r="196" spans="1:2" x14ac:dyDescent="0.3">
      <c r="A196">
        <f>ROUND('1'!B199, 1)</f>
        <v>0</v>
      </c>
      <c r="B196" s="24">
        <f>'1'!E199</f>
        <v>0</v>
      </c>
    </row>
    <row r="197" spans="1:2" x14ac:dyDescent="0.3">
      <c r="A197">
        <f>ROUND('1'!B200, 1)</f>
        <v>0</v>
      </c>
      <c r="B197" s="24">
        <f>'1'!E200</f>
        <v>0</v>
      </c>
    </row>
    <row r="198" spans="1:2" x14ac:dyDescent="0.3">
      <c r="A198">
        <f>ROUND('1'!B201, 1)</f>
        <v>0</v>
      </c>
      <c r="B198" s="24">
        <f>'1'!E201</f>
        <v>0</v>
      </c>
    </row>
    <row r="199" spans="1:2" x14ac:dyDescent="0.3">
      <c r="A199">
        <f>ROUND('1'!B202, 1)</f>
        <v>0</v>
      </c>
      <c r="B199" s="24">
        <f>'1'!E202</f>
        <v>0</v>
      </c>
    </row>
    <row r="200" spans="1:2" x14ac:dyDescent="0.3">
      <c r="A200">
        <f>ROUND('1'!B203, 1)</f>
        <v>0</v>
      </c>
      <c r="B200" s="24">
        <f>'1'!E203</f>
        <v>0</v>
      </c>
    </row>
    <row r="201" spans="1:2" x14ac:dyDescent="0.3">
      <c r="A201">
        <f>ROUND('1'!B204, 1)</f>
        <v>0</v>
      </c>
      <c r="B201" s="24">
        <f>'1'!E204</f>
        <v>0</v>
      </c>
    </row>
    <row r="202" spans="1:2" x14ac:dyDescent="0.3">
      <c r="A202">
        <f>ROUND('1'!B205, 1)</f>
        <v>0</v>
      </c>
      <c r="B202" s="24">
        <f>'1'!E205</f>
        <v>0</v>
      </c>
    </row>
    <row r="203" spans="1:2" x14ac:dyDescent="0.3">
      <c r="A203">
        <f>ROUND('1'!B206, 1)</f>
        <v>0</v>
      </c>
      <c r="B203" s="24">
        <f>'1'!E206</f>
        <v>0</v>
      </c>
    </row>
    <row r="204" spans="1:2" x14ac:dyDescent="0.3">
      <c r="A204">
        <f>ROUND('1'!B207, 1)</f>
        <v>0</v>
      </c>
      <c r="B204" s="24">
        <f>'1'!E207</f>
        <v>0</v>
      </c>
    </row>
    <row r="205" spans="1:2" x14ac:dyDescent="0.3">
      <c r="A205">
        <f>ROUND('1'!B208, 1)</f>
        <v>0</v>
      </c>
      <c r="B205" s="24">
        <f>'1'!E208</f>
        <v>0</v>
      </c>
    </row>
    <row r="206" spans="1:2" x14ac:dyDescent="0.3">
      <c r="A206">
        <f>ROUND('1'!B209, 1)</f>
        <v>0</v>
      </c>
      <c r="B206" s="24">
        <f>'1'!E209</f>
        <v>0</v>
      </c>
    </row>
    <row r="207" spans="1:2" x14ac:dyDescent="0.3">
      <c r="A207">
        <f>ROUND('1'!B210, 1)</f>
        <v>0</v>
      </c>
      <c r="B207" s="24">
        <f>'1'!E210</f>
        <v>0</v>
      </c>
    </row>
    <row r="208" spans="1:2" x14ac:dyDescent="0.3">
      <c r="A208">
        <f>ROUND('1'!B211, 1)</f>
        <v>0</v>
      </c>
      <c r="B208" s="24">
        <f>'1'!E211</f>
        <v>0</v>
      </c>
    </row>
    <row r="209" spans="1:2" x14ac:dyDescent="0.3">
      <c r="A209">
        <f>ROUND('1'!B212, 1)</f>
        <v>0</v>
      </c>
      <c r="B209" s="24">
        <f>'1'!E212</f>
        <v>0</v>
      </c>
    </row>
    <row r="210" spans="1:2" x14ac:dyDescent="0.3">
      <c r="A210">
        <f>ROUND('1'!B213, 1)</f>
        <v>0</v>
      </c>
      <c r="B210" s="24">
        <f>'1'!E213</f>
        <v>0</v>
      </c>
    </row>
    <row r="211" spans="1:2" x14ac:dyDescent="0.3">
      <c r="A211">
        <f>ROUND('1'!B214, 1)</f>
        <v>0</v>
      </c>
      <c r="B211" s="24">
        <f>'1'!E214</f>
        <v>0</v>
      </c>
    </row>
    <row r="212" spans="1:2" x14ac:dyDescent="0.3">
      <c r="A212">
        <f>ROUND('1'!B215, 1)</f>
        <v>0</v>
      </c>
      <c r="B212" s="24">
        <f>'1'!E215</f>
        <v>0</v>
      </c>
    </row>
    <row r="213" spans="1:2" x14ac:dyDescent="0.3">
      <c r="A213">
        <f>ROUND('1'!B216, 1)</f>
        <v>0</v>
      </c>
      <c r="B213" s="24">
        <f>'1'!E216</f>
        <v>0</v>
      </c>
    </row>
    <row r="214" spans="1:2" x14ac:dyDescent="0.3">
      <c r="A214">
        <f>ROUND('1'!B217, 1)</f>
        <v>0</v>
      </c>
      <c r="B214" s="24">
        <f>'1'!E217</f>
        <v>0</v>
      </c>
    </row>
    <row r="215" spans="1:2" x14ac:dyDescent="0.3">
      <c r="A215">
        <f>ROUND('1'!B218, 1)</f>
        <v>0</v>
      </c>
      <c r="B215" s="24">
        <f>'1'!E218</f>
        <v>0</v>
      </c>
    </row>
    <row r="216" spans="1:2" x14ac:dyDescent="0.3">
      <c r="A216">
        <f>ROUND('1'!B219, 1)</f>
        <v>0</v>
      </c>
      <c r="B216" s="24">
        <f>'1'!E219</f>
        <v>0</v>
      </c>
    </row>
    <row r="217" spans="1:2" x14ac:dyDescent="0.3">
      <c r="A217">
        <f>ROUND('1'!B220, 1)</f>
        <v>0</v>
      </c>
      <c r="B217" s="24">
        <f>'1'!E220</f>
        <v>0</v>
      </c>
    </row>
    <row r="218" spans="1:2" x14ac:dyDescent="0.3">
      <c r="A218">
        <f>ROUND('1'!B221, 1)</f>
        <v>0</v>
      </c>
      <c r="B218" s="24">
        <f>'1'!E221</f>
        <v>0</v>
      </c>
    </row>
    <row r="219" spans="1:2" x14ac:dyDescent="0.3">
      <c r="A219">
        <f>ROUND('1'!B222, 1)</f>
        <v>0</v>
      </c>
      <c r="B219" s="24">
        <f>'1'!E222</f>
        <v>0</v>
      </c>
    </row>
    <row r="220" spans="1:2" x14ac:dyDescent="0.3">
      <c r="A220">
        <f>ROUND('1'!B223, 1)</f>
        <v>0</v>
      </c>
      <c r="B220" s="24">
        <f>'1'!E223</f>
        <v>0</v>
      </c>
    </row>
    <row r="221" spans="1:2" x14ac:dyDescent="0.3">
      <c r="A221">
        <f>ROUND('1'!B224, 1)</f>
        <v>0</v>
      </c>
      <c r="B221" s="24">
        <f>'1'!E224</f>
        <v>0</v>
      </c>
    </row>
    <row r="222" spans="1:2" x14ac:dyDescent="0.3">
      <c r="A222">
        <f>ROUND('1'!B225, 1)</f>
        <v>0</v>
      </c>
      <c r="B222" s="24">
        <f>'1'!E225</f>
        <v>0</v>
      </c>
    </row>
    <row r="223" spans="1:2" x14ac:dyDescent="0.3">
      <c r="A223">
        <f>ROUND('1'!B226, 1)</f>
        <v>0</v>
      </c>
      <c r="B223" s="24">
        <f>'1'!E226</f>
        <v>0</v>
      </c>
    </row>
    <row r="224" spans="1:2" x14ac:dyDescent="0.3">
      <c r="A224">
        <f>ROUND('1'!B227, 1)</f>
        <v>0</v>
      </c>
      <c r="B224" s="24">
        <f>'1'!E227</f>
        <v>0</v>
      </c>
    </row>
    <row r="225" spans="1:2" x14ac:dyDescent="0.3">
      <c r="A225">
        <f>ROUND('1'!B228, 1)</f>
        <v>0</v>
      </c>
      <c r="B225" s="24">
        <f>'1'!E228</f>
        <v>0</v>
      </c>
    </row>
    <row r="226" spans="1:2" x14ac:dyDescent="0.3">
      <c r="A226">
        <f>ROUND('1'!B229, 1)</f>
        <v>0</v>
      </c>
      <c r="B226" s="24">
        <f>'1'!E229</f>
        <v>0</v>
      </c>
    </row>
    <row r="227" spans="1:2" x14ac:dyDescent="0.3">
      <c r="A227">
        <f>ROUND('1'!B230, 1)</f>
        <v>0</v>
      </c>
      <c r="B227" s="24">
        <f>'1'!E230</f>
        <v>0</v>
      </c>
    </row>
    <row r="228" spans="1:2" x14ac:dyDescent="0.3">
      <c r="A228">
        <f>ROUND('1'!B231, 1)</f>
        <v>0</v>
      </c>
      <c r="B228" s="24">
        <f>'1'!E231</f>
        <v>0</v>
      </c>
    </row>
    <row r="229" spans="1:2" x14ac:dyDescent="0.3">
      <c r="A229">
        <f>ROUND('1'!B232, 1)</f>
        <v>0</v>
      </c>
      <c r="B229" s="24">
        <f>'1'!E232</f>
        <v>0</v>
      </c>
    </row>
    <row r="230" spans="1:2" x14ac:dyDescent="0.3">
      <c r="A230">
        <f>ROUND('1'!B233, 1)</f>
        <v>0</v>
      </c>
      <c r="B230" s="24">
        <f>'1'!E233</f>
        <v>0</v>
      </c>
    </row>
    <row r="231" spans="1:2" x14ac:dyDescent="0.3">
      <c r="A231">
        <f>ROUND('1'!B234, 1)</f>
        <v>0</v>
      </c>
      <c r="B231" s="24">
        <f>'1'!E234</f>
        <v>0</v>
      </c>
    </row>
    <row r="232" spans="1:2" x14ac:dyDescent="0.3">
      <c r="A232">
        <f>ROUND('1'!B235, 1)</f>
        <v>0</v>
      </c>
      <c r="B232" s="24">
        <f>'1'!E235</f>
        <v>0</v>
      </c>
    </row>
    <row r="233" spans="1:2" x14ac:dyDescent="0.3">
      <c r="A233">
        <f>ROUND('1'!B236, 1)</f>
        <v>0</v>
      </c>
      <c r="B233" s="24">
        <f>'1'!E236</f>
        <v>0</v>
      </c>
    </row>
    <row r="234" spans="1:2" x14ac:dyDescent="0.3">
      <c r="A234">
        <f>ROUND('1'!B237, 1)</f>
        <v>0</v>
      </c>
      <c r="B234" s="24">
        <f>'1'!E237</f>
        <v>0</v>
      </c>
    </row>
    <row r="235" spans="1:2" x14ac:dyDescent="0.3">
      <c r="A235">
        <f>ROUND('1'!B238, 1)</f>
        <v>0</v>
      </c>
      <c r="B235" s="24">
        <f>'1'!E238</f>
        <v>0</v>
      </c>
    </row>
    <row r="236" spans="1:2" x14ac:dyDescent="0.3">
      <c r="A236">
        <f>ROUND('1'!B239, 1)</f>
        <v>0</v>
      </c>
      <c r="B236" s="24">
        <f>'1'!E239</f>
        <v>0</v>
      </c>
    </row>
    <row r="237" spans="1:2" x14ac:dyDescent="0.3">
      <c r="A237">
        <f>ROUND('1'!B240, 1)</f>
        <v>0</v>
      </c>
      <c r="B237" s="24">
        <f>'1'!E240</f>
        <v>0</v>
      </c>
    </row>
    <row r="238" spans="1:2" x14ac:dyDescent="0.3">
      <c r="A238">
        <f>ROUND('1'!B241, 1)</f>
        <v>0</v>
      </c>
      <c r="B238" s="24">
        <f>'1'!E241</f>
        <v>0</v>
      </c>
    </row>
    <row r="239" spans="1:2" x14ac:dyDescent="0.3">
      <c r="A239">
        <f>ROUND('1'!B242, 1)</f>
        <v>0</v>
      </c>
      <c r="B239" s="24">
        <f>'1'!E242</f>
        <v>0</v>
      </c>
    </row>
    <row r="240" spans="1:2" x14ac:dyDescent="0.3">
      <c r="A240">
        <f>ROUND('1'!B243, 1)</f>
        <v>0</v>
      </c>
      <c r="B240" s="24">
        <f>'1'!E243</f>
        <v>0</v>
      </c>
    </row>
    <row r="241" spans="1:2" x14ac:dyDescent="0.3">
      <c r="A241">
        <f>ROUND('1'!B244, 1)</f>
        <v>0</v>
      </c>
      <c r="B241" s="24">
        <f>'1'!E244</f>
        <v>0</v>
      </c>
    </row>
    <row r="242" spans="1:2" x14ac:dyDescent="0.3">
      <c r="A242">
        <f>ROUND('1'!B245, 1)</f>
        <v>0</v>
      </c>
      <c r="B242" s="24">
        <f>'1'!E245</f>
        <v>0</v>
      </c>
    </row>
    <row r="243" spans="1:2" x14ac:dyDescent="0.3">
      <c r="A243">
        <f>ROUND('1'!B246, 1)</f>
        <v>0</v>
      </c>
      <c r="B243" s="24">
        <f>'1'!E246</f>
        <v>0</v>
      </c>
    </row>
    <row r="244" spans="1:2" x14ac:dyDescent="0.3">
      <c r="A244">
        <f>ROUND('1'!B247, 1)</f>
        <v>0</v>
      </c>
      <c r="B244" s="24">
        <f>'1'!E247</f>
        <v>0</v>
      </c>
    </row>
    <row r="245" spans="1:2" x14ac:dyDescent="0.3">
      <c r="A245">
        <f>ROUND('1'!B248, 1)</f>
        <v>0</v>
      </c>
      <c r="B245" s="24">
        <f>'1'!E248</f>
        <v>0</v>
      </c>
    </row>
    <row r="246" spans="1:2" x14ac:dyDescent="0.3">
      <c r="A246">
        <f>ROUND('1'!B249, 1)</f>
        <v>0</v>
      </c>
      <c r="B246" s="24">
        <f>'1'!E249</f>
        <v>0</v>
      </c>
    </row>
    <row r="247" spans="1:2" x14ac:dyDescent="0.3">
      <c r="A247">
        <f>ROUND('1'!B250, 1)</f>
        <v>0</v>
      </c>
      <c r="B247" s="24">
        <f>'1'!E250</f>
        <v>0</v>
      </c>
    </row>
    <row r="248" spans="1:2" x14ac:dyDescent="0.3">
      <c r="A248">
        <f>ROUND('1'!B251, 1)</f>
        <v>0</v>
      </c>
      <c r="B248" s="24">
        <f>'1'!E251</f>
        <v>0</v>
      </c>
    </row>
    <row r="249" spans="1:2" x14ac:dyDescent="0.3">
      <c r="A249">
        <f>ROUND('1'!B252, 1)</f>
        <v>0</v>
      </c>
      <c r="B249" s="24">
        <f>'1'!E252</f>
        <v>0</v>
      </c>
    </row>
    <row r="250" spans="1:2" x14ac:dyDescent="0.3">
      <c r="A250">
        <f>ROUND('1'!B253, 1)</f>
        <v>0</v>
      </c>
      <c r="B250" s="24">
        <f>'1'!E253</f>
        <v>0</v>
      </c>
    </row>
    <row r="251" spans="1:2" x14ac:dyDescent="0.3">
      <c r="A251">
        <f>ROUND('1'!B254, 1)</f>
        <v>0</v>
      </c>
      <c r="B251" s="24">
        <f>'1'!E254</f>
        <v>0</v>
      </c>
    </row>
    <row r="252" spans="1:2" x14ac:dyDescent="0.3">
      <c r="A252">
        <f>ROUND('1'!B255, 1)</f>
        <v>0</v>
      </c>
      <c r="B252" s="24">
        <f>'1'!E255</f>
        <v>0</v>
      </c>
    </row>
    <row r="253" spans="1:2" x14ac:dyDescent="0.3">
      <c r="A253">
        <f>ROUND('1'!B256, 1)</f>
        <v>0</v>
      </c>
      <c r="B253" s="24">
        <f>'1'!E256</f>
        <v>0</v>
      </c>
    </row>
    <row r="254" spans="1:2" x14ac:dyDescent="0.3">
      <c r="A254">
        <f>ROUND('1'!B257, 1)</f>
        <v>0</v>
      </c>
      <c r="B254" s="24">
        <f>'1'!E257</f>
        <v>0</v>
      </c>
    </row>
    <row r="255" spans="1:2" x14ac:dyDescent="0.3">
      <c r="A255">
        <f>ROUND('1'!B258, 1)</f>
        <v>0</v>
      </c>
      <c r="B255" s="24">
        <f>'1'!E258</f>
        <v>0</v>
      </c>
    </row>
    <row r="256" spans="1:2" x14ac:dyDescent="0.3">
      <c r="A256">
        <f>ROUND('1'!B259, 1)</f>
        <v>0</v>
      </c>
      <c r="B256" s="24">
        <f>'1'!E259</f>
        <v>0</v>
      </c>
    </row>
    <row r="257" spans="1:2" x14ac:dyDescent="0.3">
      <c r="A257">
        <f>ROUND('1'!B260, 1)</f>
        <v>0</v>
      </c>
      <c r="B257" s="24">
        <f>'1'!E260</f>
        <v>0</v>
      </c>
    </row>
    <row r="258" spans="1:2" x14ac:dyDescent="0.3">
      <c r="A258">
        <f>ROUND('1'!B261, 1)</f>
        <v>0</v>
      </c>
      <c r="B258" s="24">
        <f>'1'!E261</f>
        <v>0</v>
      </c>
    </row>
    <row r="259" spans="1:2" x14ac:dyDescent="0.3">
      <c r="A259">
        <f>ROUND('1'!B262, 1)</f>
        <v>0</v>
      </c>
      <c r="B259" s="24">
        <f>'1'!E262</f>
        <v>0</v>
      </c>
    </row>
    <row r="260" spans="1:2" x14ac:dyDescent="0.3">
      <c r="A260">
        <f>ROUND('1'!B263, 1)</f>
        <v>0</v>
      </c>
      <c r="B260" s="24">
        <f>'1'!E263</f>
        <v>0</v>
      </c>
    </row>
    <row r="261" spans="1:2" x14ac:dyDescent="0.3">
      <c r="A261">
        <f>ROUND('1'!B264, 1)</f>
        <v>0</v>
      </c>
      <c r="B261" s="24">
        <f>'1'!E264</f>
        <v>0</v>
      </c>
    </row>
    <row r="262" spans="1:2" x14ac:dyDescent="0.3">
      <c r="A262">
        <f>ROUND('1'!B265, 1)</f>
        <v>0</v>
      </c>
      <c r="B262" s="24">
        <f>'1'!E265</f>
        <v>0</v>
      </c>
    </row>
    <row r="263" spans="1:2" x14ac:dyDescent="0.3">
      <c r="A263">
        <f>ROUND('1'!B266, 1)</f>
        <v>0</v>
      </c>
      <c r="B263" s="24">
        <f>'1'!E266</f>
        <v>0</v>
      </c>
    </row>
    <row r="264" spans="1:2" x14ac:dyDescent="0.3">
      <c r="A264">
        <f>ROUND('1'!B267, 1)</f>
        <v>0</v>
      </c>
      <c r="B264" s="24">
        <f>'1'!E267</f>
        <v>0</v>
      </c>
    </row>
    <row r="265" spans="1:2" x14ac:dyDescent="0.3">
      <c r="A265">
        <f>ROUND('1'!B268, 1)</f>
        <v>0</v>
      </c>
      <c r="B265" s="24">
        <f>'1'!E268</f>
        <v>0</v>
      </c>
    </row>
    <row r="266" spans="1:2" x14ac:dyDescent="0.3">
      <c r="A266">
        <f>ROUND('1'!B269, 1)</f>
        <v>0</v>
      </c>
      <c r="B266" s="24">
        <f>'1'!E269</f>
        <v>0</v>
      </c>
    </row>
    <row r="267" spans="1:2" x14ac:dyDescent="0.3">
      <c r="A267">
        <f>ROUND('1'!B270, 1)</f>
        <v>0</v>
      </c>
      <c r="B267" s="24">
        <f>'1'!E270</f>
        <v>0</v>
      </c>
    </row>
    <row r="268" spans="1:2" x14ac:dyDescent="0.3">
      <c r="A268">
        <f>ROUND('1'!B271, 1)</f>
        <v>0</v>
      </c>
      <c r="B268" s="24">
        <f>'1'!E271</f>
        <v>0</v>
      </c>
    </row>
    <row r="269" spans="1:2" x14ac:dyDescent="0.3">
      <c r="A269">
        <f>ROUND('1'!B272, 1)</f>
        <v>0</v>
      </c>
      <c r="B269" s="24">
        <f>'1'!E272</f>
        <v>0</v>
      </c>
    </row>
    <row r="270" spans="1:2" x14ac:dyDescent="0.3">
      <c r="A270">
        <f>ROUND('1'!B273, 1)</f>
        <v>0</v>
      </c>
      <c r="B270" s="24">
        <f>'1'!E273</f>
        <v>0</v>
      </c>
    </row>
    <row r="271" spans="1:2" x14ac:dyDescent="0.3">
      <c r="A271">
        <f>ROUND('1'!B274, 1)</f>
        <v>0</v>
      </c>
      <c r="B271" s="24">
        <f>'1'!E274</f>
        <v>0</v>
      </c>
    </row>
    <row r="272" spans="1:2" x14ac:dyDescent="0.3">
      <c r="A272">
        <f>ROUND('1'!B275, 1)</f>
        <v>0</v>
      </c>
      <c r="B272" s="24">
        <f>'1'!E275</f>
        <v>0</v>
      </c>
    </row>
    <row r="273" spans="1:2" x14ac:dyDescent="0.3">
      <c r="A273">
        <f>ROUND('1'!B276, 1)</f>
        <v>0</v>
      </c>
      <c r="B273" s="24">
        <f>'1'!E276</f>
        <v>0</v>
      </c>
    </row>
    <row r="274" spans="1:2" x14ac:dyDescent="0.3">
      <c r="A274">
        <f>ROUND('1'!B277, 1)</f>
        <v>0</v>
      </c>
      <c r="B274" s="24">
        <f>'1'!E277</f>
        <v>0</v>
      </c>
    </row>
    <row r="275" spans="1:2" x14ac:dyDescent="0.3">
      <c r="A275">
        <f>ROUND('1'!B278, 1)</f>
        <v>0</v>
      </c>
      <c r="B275" s="24">
        <f>'1'!E278</f>
        <v>0</v>
      </c>
    </row>
    <row r="276" spans="1:2" x14ac:dyDescent="0.3">
      <c r="A276">
        <f>ROUND('1'!B279, 1)</f>
        <v>0</v>
      </c>
      <c r="B276" s="24">
        <f>'1'!E279</f>
        <v>0</v>
      </c>
    </row>
    <row r="277" spans="1:2" x14ac:dyDescent="0.3">
      <c r="A277">
        <f>ROUND('1'!B280, 1)</f>
        <v>0</v>
      </c>
      <c r="B277" s="24">
        <f>'1'!E280</f>
        <v>0</v>
      </c>
    </row>
    <row r="278" spans="1:2" x14ac:dyDescent="0.3">
      <c r="A278">
        <f>ROUND('1'!B281, 1)</f>
        <v>0</v>
      </c>
      <c r="B278" s="24">
        <f>'1'!E281</f>
        <v>0</v>
      </c>
    </row>
    <row r="279" spans="1:2" x14ac:dyDescent="0.3">
      <c r="A279">
        <f>ROUND('1'!B282, 1)</f>
        <v>0</v>
      </c>
      <c r="B279" s="24">
        <f>'1'!E282</f>
        <v>0</v>
      </c>
    </row>
    <row r="280" spans="1:2" x14ac:dyDescent="0.3">
      <c r="A280">
        <f>ROUND('1'!B283, 1)</f>
        <v>0</v>
      </c>
      <c r="B280" s="24">
        <f>'1'!E283</f>
        <v>0</v>
      </c>
    </row>
    <row r="281" spans="1:2" x14ac:dyDescent="0.3">
      <c r="A281">
        <f>ROUND('1'!B284, 1)</f>
        <v>0</v>
      </c>
      <c r="B281" s="24">
        <f>'1'!E284</f>
        <v>0</v>
      </c>
    </row>
    <row r="282" spans="1:2" x14ac:dyDescent="0.3">
      <c r="A282">
        <f>ROUND('1'!B285, 1)</f>
        <v>0</v>
      </c>
      <c r="B282" s="24">
        <f>'1'!E285</f>
        <v>0</v>
      </c>
    </row>
    <row r="283" spans="1:2" x14ac:dyDescent="0.3">
      <c r="A283">
        <f>ROUND('1'!B286, 1)</f>
        <v>0</v>
      </c>
      <c r="B283" s="24">
        <f>'1'!E286</f>
        <v>0</v>
      </c>
    </row>
    <row r="284" spans="1:2" x14ac:dyDescent="0.3">
      <c r="A284">
        <f>ROUND('1'!B287, 1)</f>
        <v>0</v>
      </c>
      <c r="B284" s="24">
        <f>'1'!E287</f>
        <v>0</v>
      </c>
    </row>
    <row r="285" spans="1:2" x14ac:dyDescent="0.3">
      <c r="A285">
        <f>ROUND('1'!B288, 1)</f>
        <v>0</v>
      </c>
      <c r="B285" s="24">
        <f>'1'!E288</f>
        <v>0</v>
      </c>
    </row>
    <row r="286" spans="1:2" x14ac:dyDescent="0.3">
      <c r="A286">
        <f>ROUND('1'!B289, 1)</f>
        <v>0</v>
      </c>
      <c r="B286" s="24">
        <f>'1'!E289</f>
        <v>0</v>
      </c>
    </row>
    <row r="287" spans="1:2" x14ac:dyDescent="0.3">
      <c r="A287">
        <f>ROUND('1'!B290, 1)</f>
        <v>0</v>
      </c>
      <c r="B287" s="24">
        <f>'1'!E290</f>
        <v>0</v>
      </c>
    </row>
    <row r="288" spans="1:2" x14ac:dyDescent="0.3">
      <c r="A288">
        <f>ROUND('1'!B291, 1)</f>
        <v>0</v>
      </c>
      <c r="B288" s="24">
        <f>'1'!E291</f>
        <v>0</v>
      </c>
    </row>
    <row r="289" spans="1:2" x14ac:dyDescent="0.3">
      <c r="A289">
        <f>ROUND('1'!B292, 1)</f>
        <v>0</v>
      </c>
      <c r="B289" s="24">
        <f>'1'!E292</f>
        <v>0</v>
      </c>
    </row>
    <row r="290" spans="1:2" x14ac:dyDescent="0.3">
      <c r="A290">
        <f>ROUND('1'!B293, 1)</f>
        <v>0</v>
      </c>
      <c r="B290" s="24">
        <f>'1'!E293</f>
        <v>0</v>
      </c>
    </row>
    <row r="291" spans="1:2" x14ac:dyDescent="0.3">
      <c r="A291">
        <f>ROUND('1'!B294, 1)</f>
        <v>0</v>
      </c>
      <c r="B291" s="24">
        <f>'1'!E294</f>
        <v>0</v>
      </c>
    </row>
    <row r="292" spans="1:2" x14ac:dyDescent="0.3">
      <c r="A292">
        <f>ROUND('1'!B295, 1)</f>
        <v>0</v>
      </c>
      <c r="B292" s="24">
        <f>'1'!E295</f>
        <v>0</v>
      </c>
    </row>
    <row r="293" spans="1:2" x14ac:dyDescent="0.3">
      <c r="A293">
        <f>ROUND('1'!B296, 1)</f>
        <v>0</v>
      </c>
      <c r="B293" s="24">
        <f>'1'!E296</f>
        <v>0</v>
      </c>
    </row>
    <row r="294" spans="1:2" x14ac:dyDescent="0.3">
      <c r="A294">
        <f>ROUND('1'!B297, 1)</f>
        <v>0</v>
      </c>
      <c r="B294" s="24">
        <f>'1'!E297</f>
        <v>0</v>
      </c>
    </row>
    <row r="295" spans="1:2" x14ac:dyDescent="0.3">
      <c r="A295">
        <f>ROUND('1'!B298, 1)</f>
        <v>0</v>
      </c>
      <c r="B295" s="24">
        <f>'1'!E298</f>
        <v>0</v>
      </c>
    </row>
    <row r="296" spans="1:2" x14ac:dyDescent="0.3">
      <c r="A296">
        <f>ROUND('1'!B299, 1)</f>
        <v>0</v>
      </c>
      <c r="B296" s="24">
        <f>'1'!E299</f>
        <v>0</v>
      </c>
    </row>
    <row r="297" spans="1:2" x14ac:dyDescent="0.3">
      <c r="A297">
        <f>ROUND('1'!B300, 1)</f>
        <v>0</v>
      </c>
      <c r="B297" s="24">
        <f>'1'!E300</f>
        <v>0</v>
      </c>
    </row>
    <row r="298" spans="1:2" x14ac:dyDescent="0.3">
      <c r="A298">
        <f>ROUND('1'!B301, 1)</f>
        <v>0</v>
      </c>
      <c r="B298" s="24">
        <f>'1'!E301</f>
        <v>0</v>
      </c>
    </row>
    <row r="299" spans="1:2" x14ac:dyDescent="0.3">
      <c r="A299">
        <f>ROUND('1'!B302, 1)</f>
        <v>0</v>
      </c>
      <c r="B299" s="24">
        <f>'1'!E302</f>
        <v>0</v>
      </c>
    </row>
    <row r="300" spans="1:2" x14ac:dyDescent="0.3">
      <c r="A300">
        <f>ROUND('1'!B303, 1)</f>
        <v>0</v>
      </c>
      <c r="B300" s="24">
        <f>'1'!E303</f>
        <v>0</v>
      </c>
    </row>
    <row r="301" spans="1:2" x14ac:dyDescent="0.3">
      <c r="A301">
        <f>ROUND('1'!B304, 1)</f>
        <v>0</v>
      </c>
      <c r="B301" s="24">
        <f>'1'!E304</f>
        <v>0</v>
      </c>
    </row>
    <row r="302" spans="1:2" x14ac:dyDescent="0.3">
      <c r="A302">
        <f>ROUND('1'!B305, 1)</f>
        <v>0</v>
      </c>
      <c r="B302" s="24">
        <f>'1'!E305</f>
        <v>0</v>
      </c>
    </row>
    <row r="303" spans="1:2" x14ac:dyDescent="0.3">
      <c r="A303">
        <f>ROUND('1'!B306, 1)</f>
        <v>0</v>
      </c>
      <c r="B303" s="24">
        <f>'1'!E306</f>
        <v>0</v>
      </c>
    </row>
    <row r="304" spans="1:2" x14ac:dyDescent="0.3">
      <c r="A304">
        <f>ROUND('1'!B307, 1)</f>
        <v>0</v>
      </c>
      <c r="B304" s="24">
        <f>'1'!E307</f>
        <v>0</v>
      </c>
    </row>
    <row r="305" spans="1:2" x14ac:dyDescent="0.3">
      <c r="A305">
        <f>ROUND('1'!B308, 1)</f>
        <v>0</v>
      </c>
      <c r="B305" s="24">
        <f>'1'!E308</f>
        <v>0</v>
      </c>
    </row>
    <row r="306" spans="1:2" x14ac:dyDescent="0.3">
      <c r="A306">
        <f>ROUND('1'!B309, 1)</f>
        <v>0</v>
      </c>
      <c r="B306" s="24">
        <f>'1'!E309</f>
        <v>0</v>
      </c>
    </row>
    <row r="307" spans="1:2" x14ac:dyDescent="0.3">
      <c r="A307">
        <f>ROUND('1'!B310, 1)</f>
        <v>0</v>
      </c>
      <c r="B307" s="24">
        <f>'1'!E310</f>
        <v>0</v>
      </c>
    </row>
    <row r="308" spans="1:2" x14ac:dyDescent="0.3">
      <c r="A308">
        <f>ROUND('1'!B311, 1)</f>
        <v>0</v>
      </c>
      <c r="B308" s="24">
        <f>'1'!E311</f>
        <v>0</v>
      </c>
    </row>
    <row r="309" spans="1:2" x14ac:dyDescent="0.3">
      <c r="A309">
        <f>ROUND('1'!B312, 1)</f>
        <v>0</v>
      </c>
      <c r="B309" s="24">
        <f>'1'!E312</f>
        <v>0</v>
      </c>
    </row>
    <row r="310" spans="1:2" x14ac:dyDescent="0.3">
      <c r="A310">
        <f>ROUND('1'!B313, 1)</f>
        <v>0</v>
      </c>
      <c r="B310" s="24">
        <f>'1'!E313</f>
        <v>0</v>
      </c>
    </row>
    <row r="311" spans="1:2" x14ac:dyDescent="0.3">
      <c r="A311">
        <f>ROUND('1'!B314, 1)</f>
        <v>0</v>
      </c>
      <c r="B311" s="24">
        <f>'1'!E314</f>
        <v>0</v>
      </c>
    </row>
    <row r="312" spans="1:2" x14ac:dyDescent="0.3">
      <c r="A312">
        <f>ROUND('1'!B315, 1)</f>
        <v>0</v>
      </c>
      <c r="B312" s="24">
        <f>'1'!E315</f>
        <v>0</v>
      </c>
    </row>
    <row r="313" spans="1:2" x14ac:dyDescent="0.3">
      <c r="A313">
        <f>ROUND('1'!B316, 1)</f>
        <v>0</v>
      </c>
      <c r="B313" s="24">
        <f>'1'!E316</f>
        <v>0</v>
      </c>
    </row>
    <row r="314" spans="1:2" x14ac:dyDescent="0.3">
      <c r="A314">
        <f>ROUND('1'!B317, 1)</f>
        <v>0</v>
      </c>
      <c r="B314" s="24">
        <f>'1'!E317</f>
        <v>0</v>
      </c>
    </row>
    <row r="315" spans="1:2" x14ac:dyDescent="0.3">
      <c r="A315">
        <f>ROUND('1'!B318, 1)</f>
        <v>0</v>
      </c>
      <c r="B315" s="24">
        <f>'1'!E318</f>
        <v>0</v>
      </c>
    </row>
    <row r="316" spans="1:2" x14ac:dyDescent="0.3">
      <c r="A316">
        <f>ROUND('1'!B319, 1)</f>
        <v>0</v>
      </c>
      <c r="B316" s="24">
        <f>'1'!E319</f>
        <v>0</v>
      </c>
    </row>
    <row r="317" spans="1:2" x14ac:dyDescent="0.3">
      <c r="A317">
        <f>ROUND('1'!B320, 1)</f>
        <v>0</v>
      </c>
      <c r="B317" s="24">
        <f>'1'!E320</f>
        <v>0</v>
      </c>
    </row>
    <row r="318" spans="1:2" x14ac:dyDescent="0.3">
      <c r="A318">
        <f>ROUND('1'!B321, 1)</f>
        <v>0</v>
      </c>
      <c r="B318" s="24">
        <f>'1'!E321</f>
        <v>0</v>
      </c>
    </row>
    <row r="319" spans="1:2" x14ac:dyDescent="0.3">
      <c r="A319">
        <f>ROUND('1'!B322, 1)</f>
        <v>0</v>
      </c>
      <c r="B319" s="24">
        <f>'1'!E322</f>
        <v>0</v>
      </c>
    </row>
    <row r="320" spans="1:2" x14ac:dyDescent="0.3">
      <c r="A320">
        <f>ROUND('1'!B323, 1)</f>
        <v>0</v>
      </c>
      <c r="B320" s="24">
        <f>'1'!E323</f>
        <v>0</v>
      </c>
    </row>
    <row r="321" spans="1:2" x14ac:dyDescent="0.3">
      <c r="A321">
        <f>ROUND('1'!B324, 1)</f>
        <v>0</v>
      </c>
      <c r="B321" s="24">
        <f>'1'!E324</f>
        <v>0</v>
      </c>
    </row>
    <row r="322" spans="1:2" x14ac:dyDescent="0.3">
      <c r="A322">
        <f>ROUND('1'!B325, 1)</f>
        <v>0</v>
      </c>
      <c r="B322" s="24">
        <f>'1'!E325</f>
        <v>0</v>
      </c>
    </row>
    <row r="323" spans="1:2" x14ac:dyDescent="0.3">
      <c r="A323">
        <f>ROUND('1'!B326, 1)</f>
        <v>0</v>
      </c>
      <c r="B323" s="24">
        <f>'1'!E326</f>
        <v>0</v>
      </c>
    </row>
    <row r="324" spans="1:2" x14ac:dyDescent="0.3">
      <c r="A324">
        <f>ROUND('1'!B327, 1)</f>
        <v>0</v>
      </c>
      <c r="B324" s="24">
        <f>'1'!E327</f>
        <v>0</v>
      </c>
    </row>
    <row r="325" spans="1:2" x14ac:dyDescent="0.3">
      <c r="A325">
        <f>ROUND('1'!B328, 1)</f>
        <v>0</v>
      </c>
      <c r="B325" s="24">
        <f>'1'!E328</f>
        <v>0</v>
      </c>
    </row>
    <row r="326" spans="1:2" x14ac:dyDescent="0.3">
      <c r="A326">
        <f>ROUND('1'!B329, 1)</f>
        <v>0</v>
      </c>
      <c r="B326" s="24">
        <f>'1'!E329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1</vt:lpstr>
      <vt:lpstr>REZ</vt:lpstr>
      <vt:lpstr>SPECOCRUG</vt:lpstr>
      <vt:lpstr>OBSUMM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Юрьевич Половков</dc:creator>
  <cp:lastModifiedBy>Майя</cp:lastModifiedBy>
  <cp:lastPrinted>2019-12-06T07:56:24Z</cp:lastPrinted>
  <dcterms:created xsi:type="dcterms:W3CDTF">2018-02-28T11:25:39Z</dcterms:created>
  <dcterms:modified xsi:type="dcterms:W3CDTF">2026-07-08T09:09:02Z</dcterms:modified>
</cp:coreProperties>
</file>